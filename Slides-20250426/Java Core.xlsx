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5. CodeGym\Slides-20250426\"/>
    </mc:Choice>
  </mc:AlternateContent>
  <bookViews>
    <workbookView xWindow="0" yWindow="0" windowWidth="23040" windowHeight="8496" firstSheet="3" activeTab="5"/>
  </bookViews>
  <sheets>
    <sheet name="Nội dung trong tâm" sheetId="1" r:id="rId1"/>
    <sheet name="Danh sách lớp" sheetId="2" r:id="rId2"/>
    <sheet name="Nội dung trọng tâm Module 3" sheetId="3" r:id="rId3"/>
    <sheet name="Nội dung trọng tâm Module 2" sheetId="4" r:id="rId4"/>
    <sheet name="checklist" sheetId="8" r:id="rId5"/>
    <sheet name="JAVA core API" sheetId="9" r:id="rId6"/>
    <sheet name="Quy tắc lớp" sheetId="5" r:id="rId7"/>
    <sheet name="Chia sẻ tài liệu" sheetId="6" r:id="rId8"/>
    <sheet name="Các hoạt động học tập" sheetId="7" r:id="rId9"/>
  </sheets>
  <calcPr calcId="162913"/>
</workbook>
</file>

<file path=xl/calcChain.xml><?xml version="1.0" encoding="utf-8"?>
<calcChain xmlns="http://schemas.openxmlformats.org/spreadsheetml/2006/main">
  <c r="A106" i="8" l="1"/>
  <c r="A107" i="8"/>
  <c r="A108" i="8"/>
  <c r="A243" i="4"/>
  <c r="A259" i="4"/>
  <c r="A260" i="4"/>
</calcChain>
</file>

<file path=xl/sharedStrings.xml><?xml version="1.0" encoding="utf-8"?>
<sst xmlns="http://schemas.openxmlformats.org/spreadsheetml/2006/main" count="1287" uniqueCount="1016">
  <si>
    <t>Nội dung trọng tâm
bắt buộc cần nắm</t>
  </si>
  <si>
    <t>Bài học</t>
  </si>
  <si>
    <t>Kiến thức cần nắm</t>
  </si>
  <si>
    <t>Nôi dung nâng cao</t>
  </si>
  <si>
    <t>Bài tập cần nắm</t>
  </si>
  <si>
    <t>GIT và HTML</t>
  </si>
  <si>
    <t>- Git, Github là gì? Repository, Local Repository và Remote Repository
- Các câu lệnh git: git init, git add, git comit, git remote, git push
- HTML là gì? Các thẻ cơ bản img, a, p, h, input (Code Demo)</t>
  </si>
  <si>
    <t>- Các loại thẻ khác: audio, i, ul li, ol li,...</t>
  </si>
  <si>
    <t>Sử dụng git thư mục
Làm bài cờ vua
Làm bài CV</t>
  </si>
  <si>
    <t>HTML Form và Table</t>
  </si>
  <si>
    <t>- Ý nghĩa và tác dụng của form
- Các loại input: text, number
+ chọn: select, input radio, input checkbox
+ nút nhấn: button
- Sử dụng table: table, tr, td, th</t>
  </si>
  <si>
    <t>- Các loại input khác: date, color, texteria,..
- Tìm hiểu các thuộc tính: name, id, value
- colspan, rowspan</t>
  </si>
  <si>
    <r>
      <rPr>
        <u/>
        <sz val="11"/>
        <color rgb="FF1155CC"/>
        <rFont val="Arial"/>
      </rPr>
      <t>https://james.codegym.vn/mod/assign/view.php?id=15355</t>
    </r>
    <r>
      <rPr>
        <sz val="11"/>
        <rFont val="Arial"/>
      </rPr>
      <t xml:space="preserve">
https://james.codegym.vn/mod/assign/view.php?id=15360
</t>
    </r>
    <r>
      <rPr>
        <u/>
        <sz val="11"/>
        <color rgb="FF1155CC"/>
        <rFont val="Arial"/>
      </rPr>
      <t>https://james.codegym.vn/mod/assign/view.php?id=15358</t>
    </r>
  </si>
  <si>
    <t>Tổng quan Javascript</t>
  </si>
  <si>
    <t>- Khái niệm và ý nghĩa của Javascript
- Nhúng Js vào trang web
- Khai báo biến, sử dụng toán tử toán học (cộng trừ nhân chia)
- Các hàm in ra: console.log, document.write,document.getElementById, alert
- Các sự kiện trong HTML: onclick và onchange</t>
  </si>
  <si>
    <t>- onmouseover, onmouseout</t>
  </si>
  <si>
    <t>Bài 1: Trong HTML cho một ô input, khi người dùng thay đổi giá trị của ô input dó thì console,log ra giá trị đó.
Bài 2Trong javascript cho hai biến a và b, và trong html cho một nút bấm =&gt; viết chương chình khi bấm vào hiển thị ra a + b (document.write, alert, console.log)
Bài 3: Cho a = 10, b = 5, c = 20, d= 15. Tính và hiển thị (console.log, alert, document.write) a + b * c - d  / 2
Bài 4: Trên HTML cho hai ô input để người dùng nhập và một ô button khi click vào thì hiển thị ra giá trị của hai ô đó
   + Tinh tổng của giá trị của hai ô đó và hiển thị khi người dùng click vào nút.</t>
  </si>
  <si>
    <t>Biến, kiểu dữ liệu và toán tử</t>
  </si>
  <si>
    <t>- Sử dụng được các toán tử toán, toán tử gán, toán tử so sánh
- Sử dụng được các kiểu dữ liệu: chuỗi, số, null
- Phân biệt toán tử khi kết hợp với chuỗi và số</t>
  </si>
  <si>
    <t>- Nắm được toàn bộ các toán tử và kiểu dữ liệu</t>
  </si>
  <si>
    <t>- Trừ bài máy tính</t>
  </si>
  <si>
    <t>Câu điều kiện 1</t>
  </si>
  <si>
    <t>- Nắm được các loại if
- Sử dụng được 1 loại if giải quyết các bài toán</t>
  </si>
  <si>
    <t>- Làm được bài bằng tất cả các loại if</t>
  </si>
  <si>
    <t>- Hoàn thành thực hành
- Hoàn thành Luyện tập 1
- Nhập vào tuổi trong biến age, in ra 'Đủ tuổi' nếu age&gt;18
- Nhập và a, in ra 'Hello' nếu a chẵn, 'Hi' nếu a lẻ
- Nhập vào a, b. Nếu a&gt;b in ra tổng, nếu a&lt;b in ra tích, nếu a =b in ra 'Hihi'
- Nhập a,b,c. In ra số lớn nhất</t>
  </si>
  <si>
    <t>Câu điều kiện 2</t>
  </si>
  <si>
    <t>- Nắm được Switch - case</t>
  </si>
  <si>
    <t>- Hoàn thành toàn bộ bài tập</t>
  </si>
  <si>
    <t>- Hoàn thành thực hành
- Hoàn thành Luyện tập 2
- Do you love me
- Tính chỉ số cân nặng</t>
  </si>
  <si>
    <t>Câu lệnh lặp</t>
  </si>
  <si>
    <t>- Khái niệm lặp
- Nắm được vòng lặp for
- Sử dụng break, continue
- Nắm được vòng lặp for lồng nhau 
- Sử dụng vòng lặp while và do while</t>
  </si>
  <si>
    <t>In ra 100 chữ 'Hello'
Nhập vào N từ prompt. In ra N lần chữ 'Hello'
In ra cac số từ 1 đến 1000;
In ra cac số từ a đến b;
In ra cac số từ a đến b, mỗi số trong 1 thẻ &lt;h1&gt;;
In ra các số chẵn tu a đến b;
In ra các số từ a đến b số chẵn trong h2, so le trong h1;
Tính tích.
Tính Tổng các số chia 5 dư 2 từ a đến b.
Đếm các số chia 5 dư 2 từ a đến b
In ra màn hình 0, 5 ,10,15, 20, ... 50.
In ra  màn hình 10, 9, 8, 7, 6, ... 0.
In ra màn hình 50, 45, 40, .. 0 
In ra bảng cửu chương 5.</t>
  </si>
  <si>
    <t>Câu lệnh lặp 2</t>
  </si>
  <si>
    <t>- Ôn tập lại các loại vòng lặp
- Vòng lặp lồng nhau</t>
  </si>
  <si>
    <r>
      <rPr>
        <sz val="11"/>
        <rFont val="Arial"/>
      </rPr>
      <t xml:space="preserve">- Hoàn thành bảng cửu chương: </t>
    </r>
    <r>
      <rPr>
        <u/>
        <sz val="11"/>
        <color rgb="FF1155CC"/>
        <rFont val="Arial"/>
      </rPr>
      <t>https://james.codegym.vn/mod/assign/view.php?id=15453</t>
    </r>
  </si>
  <si>
    <r>
      <rPr>
        <sz val="11"/>
        <rFont val="Arial"/>
      </rPr>
      <t xml:space="preserve">- Hoàn thành lý thuyết về vòng lặp vào MindMap
Bài 1: Viết chương trình nhập một số nguyên,tìm 20 bội số của số đó, sau đó in kết quả ra màn hình. 
Bài 2: Viết chương trình nhập một câu bất kỳ, đếm số từ và ký tự trong câu đó, và in kết quả ra màn hình. 
(Ví dụ: Input: "Truong Linh"  ==&gt; Output: Số từ: 2 và số ký tự: 11)
Bài 3: Nhập số nguyên n bất kỳ, viết chương trình in các phần tử đầu tiên của dãy Fibonacci từ 0 đến n.
(Ví dụ: Input: 20  ==&gt;  Output: 0 1 1 2 3 5 8 13
Bài 4: Nhập số nguyên n. Tính giá trị biểu thức S= 1.2 + 2.3 + 3.4 + ... + n(n+1).
Bài 5: Nhập vào n: Viết chương trình tính kết quả biểu thức S= 1+1/2^3+1/3^3+...+1/n^3
Bài 6: Nhập vào hai số nguyên dương a và b. Tìm tổng của tất cả các số lẻ và chẵn nằm giữa hai số đó.
(Ví dụ: Input : a = 5, b = 9 ==&gt; Output: Tổng số lẻ là 21 và Tổng số chẵn là 14)
- Hoành thành luyện tập 2: </t>
    </r>
    <r>
      <rPr>
        <u/>
        <sz val="11"/>
        <color rgb="FF1155CC"/>
        <rFont val="Arial"/>
      </rPr>
      <t>https://james.codegym.vn/mod/assign/view.php?id=15456&amp;forceview=1</t>
    </r>
    <r>
      <rPr>
        <sz val="11"/>
        <rFont val="Arial"/>
      </rPr>
      <t xml:space="preserve">
- Bài số nguyên tố: </t>
    </r>
    <r>
      <rPr>
        <u/>
        <sz val="11"/>
        <color rgb="FF1155CC"/>
        <rFont val="Arial"/>
      </rPr>
      <t>https://james.codegym.vn/mod/assign/view.php?id=15454</t>
    </r>
  </si>
  <si>
    <t>Mảng 1</t>
  </si>
  <si>
    <t xml:space="preserve">- Khái niệm và cú pháp khai báo
- Chỉ số mảng và Phần tử mảng, độ dài mảng là gì? Tạo một mảng và chỉ ra
- Sử dụng for để duyệt mảng
- Làm sao để thêm phần tử vào mảng, sắp xếp mảng, thay một phần tử trong mảng (Code demo)
</t>
  </si>
  <si>
    <r>
      <rPr>
        <sz val="11"/>
        <rFont val="Arial"/>
      </rPr>
      <t xml:space="preserve">- Các hàm nâng cao thao tác với mảng: splice, indexOf, map
- Tìm hiểu cách khai báo, truy xuất và duyệt mảng 2 chiều.
- Faking Textarea on Typing:  </t>
    </r>
    <r>
      <rPr>
        <u/>
        <sz val="11"/>
        <color rgb="FF1155CC"/>
        <rFont val="Arial"/>
      </rPr>
      <t xml:space="preserve">https://james.codegym.vn/mod/assign/view.php?id=15484
</t>
    </r>
    <r>
      <rPr>
        <sz val="11"/>
        <rFont val="Arial"/>
      </rPr>
      <t>- Tic Toc Toa</t>
    </r>
  </si>
  <si>
    <r>
      <rPr>
        <sz val="11"/>
        <rFont val="Arial"/>
      </rPr>
      <t xml:space="preserve">Hoàn thành quizz và thực hành.
Cho một mảng [1,7,5,9,2,6,7,9,7]
- In ra các phần tử trong mảng.
- In ra các phần tử chẵn trong mảng.
- In ra các phần tử tại vị trí chẵn trong mảng.
- Cho người dùng nhập vào 1 số và in ra số lần xuất hiện của số đó trong mảng.
Hoàn thành luyện tập 1: </t>
    </r>
    <r>
      <rPr>
        <u/>
        <sz val="11"/>
        <color rgb="FF1155CC"/>
        <rFont val="Arial"/>
      </rPr>
      <t>https://james.codegym.vn/mod/assign/view.php?id=15485</t>
    </r>
  </si>
  <si>
    <t>Mảng 2</t>
  </si>
  <si>
    <t>- Mảng 2 chiều là gì? 
- Các duyệt mảng 2 chiều?
- Tìm số lớn nhất trong mảng 2 chiều
- Tìm số nhỏ nhất trong mảng 2 chiều</t>
  </si>
  <si>
    <t>Bài 6 (Nâng cao): Hiển thị tổng các phần tử của từng cột.
Bài 7 (Nâng cao): Hiển thị phần tử lớn nhất của từng cột.
Bài 8 (Nâng cao): Tìm max đường chéo chính của ma trận trên
Bài 9 (Nâng cao): Tìm max, min đường chéo phụ của ma trận trên</t>
  </si>
  <si>
    <r>
      <rPr>
        <sz val="11"/>
        <rFont val="Arial"/>
      </rPr>
      <t xml:space="preserve">Hoàn thành lý thuyết về mảng trên MindMap
Cho mảng :  let arr = [
        [1, 3, 4],
        [3, 4, 5],
        [5, 5, 6]
    ];
Bài 1: Tính tổng các phần tử mảng 2 chiều.
Bài 2: In ra tổng các phần tử của từng hàng.
Bài 3: Tìm phần tử lớn nhất trong các hàng.
Bài 4: Hoàn thành luyện tập 2: </t>
    </r>
    <r>
      <rPr>
        <u/>
        <sz val="11"/>
        <color rgb="FF1155CC"/>
        <rFont val="Arial"/>
      </rPr>
      <t>https://james.codegym.vn/mod/assign/view.php?id=15486&amp;forceview=1</t>
    </r>
    <r>
      <rPr>
        <sz val="11"/>
        <rFont val="Arial"/>
      </rPr>
      <t xml:space="preserve">
</t>
    </r>
  </si>
  <si>
    <t>Hàm 1</t>
  </si>
  <si>
    <r>
      <rPr>
        <sz val="11"/>
        <color theme="1"/>
        <rFont val="Arial"/>
      </rPr>
      <t>(</t>
    </r>
    <r>
      <rPr>
        <b/>
        <sz val="11"/>
        <color theme="1"/>
        <rFont val="Arial"/>
      </rPr>
      <t>Ning need your code</t>
    </r>
    <r>
      <rPr>
        <sz val="11"/>
        <color theme="1"/>
        <rFont val="Arial"/>
      </rPr>
      <t>)
- Hàm là gì? Tác dụng? Cú pháp khai báo hàm và cách gọi hàm?
- Tham số hàm là gì? Đối số là gì?
- Cách sử dụng return trong hàm?
- Tạo các loại hàm và sử dụng: không tham số, có tham số, có return.
- Tạo hàm show() để hiển thị "Hello".
- Tạo hàm tinhTong(a, b) tính tổng 2 số và hiển thị ra màn hình.
- Tạo hàm tinhTong(a, b) tính tổng 2 số và return về tổng đó.</t>
    </r>
  </si>
  <si>
    <r>
      <rPr>
        <sz val="11"/>
        <rFont val="Arial"/>
      </rPr>
      <t xml:space="preserve">- Hoàn thành bài quản lý sản phẩm theo video (Xem đến </t>
    </r>
    <r>
      <rPr>
        <sz val="11"/>
        <color rgb="FF0B5394"/>
        <rFont val="Arial"/>
      </rPr>
      <t>42:00</t>
    </r>
    <r>
      <rPr>
        <sz val="11"/>
        <rFont val="Arial"/>
      </rPr>
      <t xml:space="preserve">):
</t>
    </r>
    <r>
      <rPr>
        <i/>
        <sz val="10"/>
        <rFont val="Arial"/>
      </rPr>
      <t xml:space="preserve">* Có thể tua bỏ qua một số đoạn thời gian trống do dành thời gian cho các bạn trên lớp code </t>
    </r>
    <r>
      <rPr>
        <sz val="11"/>
        <rFont val="Arial"/>
      </rPr>
      <t xml:space="preserve">
</t>
    </r>
    <r>
      <rPr>
        <u/>
        <sz val="11"/>
        <color rgb="FF1155CC"/>
        <rFont val="Arial"/>
      </rPr>
      <t>https://youtu.be/sPKM2o-ZM8E</t>
    </r>
  </si>
  <si>
    <r>
      <rPr>
        <sz val="11"/>
        <rFont val="Arial"/>
      </rPr>
      <t xml:space="preserve">- Xem các </t>
    </r>
    <r>
      <rPr>
        <b/>
        <sz val="11"/>
        <rFont val="Arial"/>
      </rPr>
      <t>bài giảng</t>
    </r>
    <r>
      <rPr>
        <sz val="11"/>
        <rFont val="Arial"/>
      </rPr>
      <t xml:space="preserve">, đọc </t>
    </r>
    <r>
      <rPr>
        <b/>
        <sz val="11"/>
        <rFont val="Arial"/>
      </rPr>
      <t>bài đọc</t>
    </r>
    <r>
      <rPr>
        <sz val="11"/>
        <rFont val="Arial"/>
      </rPr>
      <t xml:space="preserve">, test </t>
    </r>
    <r>
      <rPr>
        <b/>
        <sz val="11"/>
        <rFont val="Arial"/>
      </rPr>
      <t>các bài thực hành</t>
    </r>
    <r>
      <rPr>
        <sz val="11"/>
        <rFont val="Arial"/>
      </rPr>
      <t xml:space="preserve"> và hoàn thành </t>
    </r>
    <r>
      <rPr>
        <b/>
        <sz val="11"/>
        <rFont val="Arial"/>
      </rPr>
      <t xml:space="preserve">quizz.
</t>
    </r>
    <r>
      <rPr>
        <sz val="11"/>
        <rFont val="Arial"/>
      </rPr>
      <t xml:space="preserve">- Hoàn thành các bài sau:
+ </t>
    </r>
    <r>
      <rPr>
        <u/>
        <sz val="11"/>
        <color rgb="FF1155CC"/>
        <rFont val="Arial"/>
      </rPr>
      <t>https://james.codegym.vn/mod/assign/view.php?id=15501</t>
    </r>
    <r>
      <rPr>
        <sz val="11"/>
        <rFont val="Arial"/>
      </rPr>
      <t xml:space="preserve">
+ </t>
    </r>
    <r>
      <rPr>
        <u/>
        <sz val="11"/>
        <color rgb="FF1155CC"/>
        <rFont val="Arial"/>
      </rPr>
      <t>https://james.codegym.vn/mod/assign/view.php?id=15502</t>
    </r>
    <r>
      <rPr>
        <sz val="11"/>
        <rFont val="Arial"/>
      </rPr>
      <t xml:space="preserve">
+ </t>
    </r>
    <r>
      <rPr>
        <u/>
        <sz val="11"/>
        <color rgb="FF1155CC"/>
        <rFont val="Arial"/>
      </rPr>
      <t>https://james.codegym.vn/mod/assign/view.php?id=15503</t>
    </r>
  </si>
  <si>
    <t>Hàm 2</t>
  </si>
  <si>
    <t>- Ôn tập lại hàm.
- Quizz.</t>
  </si>
  <si>
    <r>
      <rPr>
        <sz val="11"/>
        <rFont val="Arial"/>
      </rPr>
      <t xml:space="preserve">- Tìm hiểu các loại function khác của Javascript.
- Làm thêm các chức năng cho ứng dụng quản lý:
  + Tìm kiếm theo tên.
  + Tìm kiếm gần đúng và không phân biệt hoa thường.
  + Css web của bạn.
  + Phân trang (3 sản phầm 1 trang).
- Kiểm tra từ đối xứng hay không: </t>
    </r>
    <r>
      <rPr>
        <u/>
        <sz val="11"/>
        <color rgb="FF1155CC"/>
        <rFont val="Arial"/>
      </rPr>
      <t>https://james.codegym.vn/mod/assign/view.php?id=15506&amp;forceview=1</t>
    </r>
  </si>
  <si>
    <r>
      <rPr>
        <sz val="11"/>
        <rFont val="Arial"/>
      </rPr>
      <t xml:space="preserve">- Thêm kiến thức vào MindMap.
- Hoàn thành bài tập: 
+ </t>
    </r>
    <r>
      <rPr>
        <u/>
        <sz val="11"/>
        <color rgb="FF1155CC"/>
        <rFont val="Arial"/>
      </rPr>
      <t xml:space="preserve">https://james.codegym.vn/mod/assign/view.php?id=15504
</t>
    </r>
    <r>
      <rPr>
        <sz val="11"/>
        <rFont val="Arial"/>
      </rPr>
      <t xml:space="preserve">
- Hoàn thành bài quản lý sản phẩm: 
</t>
    </r>
    <r>
      <rPr>
        <i/>
        <sz val="10"/>
        <rFont val="Arial"/>
      </rPr>
      <t>* Tham khảo video: Phần nâng cao hàm 1.</t>
    </r>
    <r>
      <rPr>
        <sz val="11"/>
        <rFont val="Arial"/>
      </rPr>
      <t xml:space="preserve">
</t>
    </r>
    <r>
      <rPr>
        <u/>
        <sz val="11"/>
        <color rgb="FF1155CC"/>
        <rFont val="Arial"/>
      </rPr>
      <t>https://james.codegym.vn/mod/assign/view.php?id=15505&amp;forceview=1</t>
    </r>
  </si>
  <si>
    <t>OOP 1</t>
  </si>
  <si>
    <t>- Đối tượng ? Lập trình hướng đối tượng là gì? 
- Phương thức và thuộc tính của đối tượng là gì?
- Cú pháp khai báo đối tượng
- Cú pháp khai báo lớp?
- Truy xuất thuộc tính và phương thức của lớp?</t>
  </si>
  <si>
    <t>Tìm hiểu về 4 tính chất OOP
Hoàn thành các bài tập trên James 
Tìm hiểu về canvas</t>
  </si>
  <si>
    <r>
      <rPr>
        <sz val="11"/>
        <rFont val="Arial"/>
      </rPr>
      <t xml:space="preserve">- Thực hành và làm các quizzz
Yêu cầu vẽ UML mọi bài OOP
Link vẽ: </t>
    </r>
    <r>
      <rPr>
        <u/>
        <sz val="11"/>
        <color rgb="FF1155CC"/>
        <rFont val="Arial"/>
      </rPr>
      <t>https://app.diagrams.net/</t>
    </r>
    <r>
      <rPr>
        <sz val="11"/>
        <rFont val="Arial"/>
      </rPr>
      <t xml:space="preserve">
1. Hoàn thành bài tập: Viết một lớp các đối tượng hình chữ nhật lấy tên là Rectangle, mỗi hình chữ nhật đều có những đặc tính sau:
+ Có thông số chiều dài (int).
+ Có thông số chiều rộng (int).
+ Có tính năng tính diện tích.
+ Có tính năng tính chu vi.
=&gt; Tạo một đối tượng HCN
+ Hiển thị thông tin hình chữ nhât lên web
+ Thay đổi chiều dài và chiều rộng của hình chữ nhật
+  In ra màn hình diện tích và chu vi của hình chữ nhật đó.
2. Hoàn thành bài tập: </t>
    </r>
    <r>
      <rPr>
        <u/>
        <sz val="11"/>
        <color rgb="FF1155CC"/>
        <rFont val="Arial"/>
      </rPr>
      <t>https://james.codegym.vn/mod/assign/view.php?id=15520&amp;forceview=1</t>
    </r>
    <r>
      <rPr>
        <sz val="11"/>
        <rFont val="Arial"/>
      </rPr>
      <t xml:space="preserve">
3. Bài tập Sinh Viên: Viết một lớp Student để quản lý thông tin sinh viên gồm các thuộc tính như tên, tuổi, một mảng điểm số. Tạo các phương thức cho phép thay đổi thông tin sinh viên, hiển thị thông tin sinh viên và tính trung bình điểm của sinh viên.
=&gt; Tạo ra 2 đối tượng student và hiển thị sinh viên có điểm trung bình cao hơn
</t>
    </r>
  </si>
  <si>
    <t>OOP 2</t>
  </si>
  <si>
    <t>- Tham trị và tham chiếu
- Các đối tượng tương tác với nhau</t>
  </si>
  <si>
    <r>
      <rPr>
        <sz val="11"/>
        <rFont val="Arial"/>
      </rPr>
      <t xml:space="preserve">- Di chuyển ảnh: </t>
    </r>
    <r>
      <rPr>
        <u/>
        <sz val="11"/>
        <color rgb="FF1155CC"/>
        <rFont val="Arial"/>
      </rPr>
      <t xml:space="preserve">https://youtu.be/uAM8vhiGp5k
</t>
    </r>
    <r>
      <rPr>
        <sz val="11"/>
        <rFont val="Arial"/>
      </rPr>
      <t xml:space="preserve">- Đưa OOP quản lý lên web: </t>
    </r>
    <r>
      <rPr>
        <u/>
        <sz val="11"/>
        <color rgb="FF1155CC"/>
        <rFont val="Arial"/>
      </rPr>
      <t xml:space="preserve">https://youtu.be/60j4MXNPmDM
</t>
    </r>
    <r>
      <rPr>
        <sz val="11"/>
        <rFont val="Arial"/>
      </rPr>
      <t>- Hoàn thành bài đọc và bài tập James.</t>
    </r>
  </si>
  <si>
    <r>
      <rPr>
        <sz val="11"/>
        <rFont val="Arial"/>
      </rPr>
      <t xml:space="preserve">1. Tạo một lớp Kind (diễn đạt loại của chó, ví dụ: Husky, Pug, Phốc,...) có nameKind (tên loại) và featherColor (màu lông)  
- Tạo một lớp Dog có nameDog, age,kindDog(loại chó), isSick(true hoặc false ~ ốm hay không)
=&gt; Vẽ UML và viết chương trình xây dựng 2 lớp trên.
 - Trong lớp Dog tạo phương thức kiểm tra con nào bị ốm thì in ra thông tin của nó, nếu không in ra khỏe =&gt;Tạo 2 đối tượng dog và gọi phương thức để kiểm tra 
2. Tạo một lớp Product có id, name, quantity, price.
- Tạo một lớp Store có listProducts (mảng) để quản lý sản phẩm. Store có các phương thức add (thêm sản phẩm), delete (xóa sản phẩm), findAll(lấy tất cả sản phẩm), edit (sửa một sản phẩm)
=&gt; Vẽ UML và Tạo một function main() hoàn thành các yêu cầu sau:
- Tạo 5 đối tượng Product
- Tạo một đối tượng Store để quản lý các sản phẩm trên.
- Thực hiện gọi hàm add để thêm tất sản phẩm vào store của bạn
- Hiển thị các sản phẩm ra màn hình console (nâng cao hơn: hiển thị ra bảng trên HTML)
- Thực hiện gọi hàm delete để xóa sản phẩm ở vị trí 3 =&gt; Sau đó hiển thị lại.
- Thực hiện gọi hàm edit để sửa sản phẩm ở vị trí 4 =&gt; Sau đó hiển thị lại.
- Trong lớp Store tạo phương thức lấy về mảng sản phẩm có giá lớn hơn 2000. Trong main() gọi phương thức trên để lấy vể mảng đó và hiển thị ra màn hình.
3. Hoàn thành bài tập: </t>
    </r>
    <r>
      <rPr>
        <u/>
        <sz val="11"/>
        <color rgb="FF1155CC"/>
        <rFont val="Arial"/>
      </rPr>
      <t>https://james.codegym.vn/mod/assign/view.php?id=15533</t>
    </r>
  </si>
  <si>
    <t>Thuật toán 1</t>
  </si>
  <si>
    <t>- Truyền tham trị và Truyền tham chiếu
- Đưa OOP quản lý lên web
- 4 tính chất OOP</t>
  </si>
  <si>
    <r>
      <rPr>
        <sz val="11"/>
        <rFont val="Arial"/>
      </rPr>
      <t xml:space="preserve">- Quản ly có lưu trữ dữ liệu vào Local Storage: </t>
    </r>
    <r>
      <rPr>
        <u/>
        <sz val="11"/>
        <color rgb="FF1155CC"/>
        <rFont val="Arial"/>
      </rPr>
      <t xml:space="preserve">https://youtu.be/lcfhFg1ryR4
</t>
    </r>
    <r>
      <rPr>
        <sz val="11"/>
        <rFont val="Arial"/>
      </rPr>
      <t xml:space="preserve">- Cày thuật toán trên hackerRank: </t>
    </r>
    <r>
      <rPr>
        <u/>
        <sz val="11"/>
        <color rgb="FF1155CC"/>
        <rFont val="Arial"/>
      </rPr>
      <t>https://james.codegym.vn/mod/assign/view.php?id=15538&amp;forceview=1</t>
    </r>
  </si>
  <si>
    <r>
      <rPr>
        <sz val="11"/>
        <rFont val="Arial"/>
      </rPr>
      <t xml:space="preserve">- Hoàn thành </t>
    </r>
    <r>
      <rPr>
        <b/>
        <sz val="11"/>
        <rFont val="Arial"/>
      </rPr>
      <t>Bài tập</t>
    </r>
    <r>
      <rPr>
        <sz val="11"/>
        <rFont val="Arial"/>
      </rPr>
      <t xml:space="preserve">, </t>
    </r>
    <r>
      <rPr>
        <b/>
        <sz val="11"/>
        <rFont val="Arial"/>
      </rPr>
      <t>Luyện tập</t>
    </r>
    <r>
      <rPr>
        <sz val="11"/>
        <rFont val="Arial"/>
      </rPr>
      <t xml:space="preserve"> và </t>
    </r>
    <r>
      <rPr>
        <b/>
        <sz val="11"/>
        <rFont val="Arial"/>
      </rPr>
      <t>Bài kiểm tra</t>
    </r>
    <r>
      <rPr>
        <sz val="11"/>
        <rFont val="Arial"/>
      </rPr>
      <t xml:space="preserve">: </t>
    </r>
    <r>
      <rPr>
        <u/>
        <sz val="11"/>
        <color rgb="FF1155CC"/>
        <rFont val="Arial"/>
      </rPr>
      <t xml:space="preserve">https://bob.codegym.vn/lesson
</t>
    </r>
    <r>
      <rPr>
        <sz val="11"/>
        <rFont val="Arial"/>
      </rPr>
      <t xml:space="preserve">- Đưa OOP quản lý lên web: </t>
    </r>
    <r>
      <rPr>
        <u/>
        <sz val="11"/>
        <color rgb="FF1155CC"/>
        <rFont val="Arial"/>
      </rPr>
      <t>https://youtu.be/60j4MXNPmDM</t>
    </r>
  </si>
  <si>
    <t>Thuật toán 2</t>
  </si>
  <si>
    <r>
      <rPr>
        <sz val="11"/>
        <rFont val="Arial"/>
      </rPr>
      <t xml:space="preserve">- Cày thuật toán trên hackerRank: </t>
    </r>
    <r>
      <rPr>
        <u/>
        <sz val="11"/>
        <color rgb="FF1155CC"/>
        <rFont val="Arial"/>
      </rPr>
      <t xml:space="preserve">https://james.codegym.vn/mod/assign/view.php?id=15538&amp;forceview=1
</t>
    </r>
    <r>
      <rPr>
        <sz val="11"/>
        <rFont val="Arial"/>
      </rPr>
      <t>- Ôn tập MD1.</t>
    </r>
  </si>
  <si>
    <r>
      <rPr>
        <sz val="11"/>
        <rFont val="Arial"/>
      </rPr>
      <t xml:space="preserve">- Làm câu hỏi phỏng vấn: </t>
    </r>
    <r>
      <rPr>
        <u/>
        <sz val="11"/>
        <color rgb="FF1155CC"/>
        <rFont val="Arial"/>
      </rPr>
      <t>https://james.codegym.vn/mod/folder/view.php?id=15294</t>
    </r>
  </si>
  <si>
    <t>Ôn tập module 1 =&gt; Tổng hợp kiến thức vào MindMap</t>
  </si>
  <si>
    <t>Ôn tập</t>
  </si>
  <si>
    <r>
      <rPr>
        <sz val="11"/>
        <rFont val="Arial"/>
      </rPr>
      <t xml:space="preserve">- Ôn tập module 1 =&gt; Tổng hợp kiến thức vào MindMap
- Làm câu hỏi phỏng vấn: </t>
    </r>
    <r>
      <rPr>
        <u/>
        <sz val="11"/>
        <color rgb="FF1155CC"/>
        <rFont val="Arial"/>
      </rPr>
      <t>https://james.codegym.vn/mod/folder/view.php?id=15294</t>
    </r>
  </si>
  <si>
    <t>Họ và Tên</t>
  </si>
  <si>
    <t>Ngày sinh</t>
  </si>
  <si>
    <t>Số điện thoại</t>
  </si>
  <si>
    <t>Email</t>
  </si>
  <si>
    <t>Link nộp bài tập</t>
  </si>
  <si>
    <t>Bài chuẩn bị</t>
  </si>
  <si>
    <t>Nhận xét bài tập</t>
  </si>
  <si>
    <t>Nhận xét chuẩn bị</t>
  </si>
  <si>
    <t>CGHN005164</t>
  </si>
  <si>
    <t>Phạm Văn Huân</t>
  </si>
  <si>
    <t>phamvanhuan.bk@gmail.com</t>
  </si>
  <si>
    <t>https://docs.google.com/document/d/1zalJezUTqyCtMpjXZ-LRBvvC5gHQFPiu1cHyC-W6-lc/edit</t>
  </si>
  <si>
    <t>https://docs.google.com/document/d/1ZUuYdWM0fxyfgZJzsoQGP8ozg5a-uWjWq_ZDVMJ_Bio/edit</t>
  </si>
  <si>
    <t>CGHN005165</t>
  </si>
  <si>
    <t>Dương Đức Sơn</t>
  </si>
  <si>
    <t>songoku.20996@gmail.com</t>
  </si>
  <si>
    <t>https://docs.google.com/document/d/1Qz5sB3I0rS5ffzj5XFT_WcOGGyqJZ_6BYWi5MJSmpek/edit</t>
  </si>
  <si>
    <t>https://docs.google.com/document/d/1Vui6eLDT7lLQW7NN_M217A8kdrdYlb3_0kITcu3_qxQ/edit</t>
  </si>
  <si>
    <t>CGHN005166</t>
  </si>
  <si>
    <t>Nguyễn Văn Hiếu</t>
  </si>
  <si>
    <t>vanhieucv1997@gmail.com</t>
  </si>
  <si>
    <t>https://docs.google.com/document/d/1PLxbKtlMxheNm6FtnUORHc-9jQKdD4uY_go9aAyjkTY/edit</t>
  </si>
  <si>
    <t>CGHN005167</t>
  </si>
  <si>
    <t>Bùi Long Cường</t>
  </si>
  <si>
    <t>builongcuong76@gmail.com</t>
  </si>
  <si>
    <t>Bài tập Module2</t>
  </si>
  <si>
    <t>Chuẩn bị bài Module2</t>
  </si>
  <si>
    <t>CGHN005170</t>
  </si>
  <si>
    <t>Nguyễn Quý Sơn Dương</t>
  </si>
  <si>
    <t>duongnqs0911@gmail.com</t>
  </si>
  <si>
    <t>NguyenQuySonDuongModule2</t>
  </si>
  <si>
    <t>CGHN005171</t>
  </si>
  <si>
    <t>Doãn Chí Toàn</t>
  </si>
  <si>
    <t>toan.doanchi044@gmail.com</t>
  </si>
  <si>
    <t>Bai Tập Module 2</t>
  </si>
  <si>
    <t>Chuẩn bị tài liệu Module2</t>
  </si>
  <si>
    <t>CGHN005174</t>
  </si>
  <si>
    <t>Trương Hồng Phúc</t>
  </si>
  <si>
    <t>hphuc0997@gmail.com</t>
  </si>
  <si>
    <t>Bài tập Module 2</t>
  </si>
  <si>
    <t>https://docs.google.com/document/d/1NaLjfJ4SvlVz2EYSdo_e4l8RFdat5h0jf9iPPkPzjT4/edit</t>
  </si>
  <si>
    <t>CGHN005175</t>
  </si>
  <si>
    <t>Nguyễn Duy Thìn</t>
  </si>
  <si>
    <t>thinnguyen3030@gmail.com</t>
  </si>
  <si>
    <t>Bài Tập Molune2</t>
  </si>
  <si>
    <t>CGHN005176</t>
  </si>
  <si>
    <t>Trần Ngọc Tuấn</t>
  </si>
  <si>
    <t>tuantn.work@gmail.com</t>
  </si>
  <si>
    <t>Module 2</t>
  </si>
  <si>
    <t>CGHN005177</t>
  </si>
  <si>
    <t>Giang Văn Thắng</t>
  </si>
  <si>
    <t>giangthang200420011@gmail.com</t>
  </si>
  <si>
    <t>Git Module2 - Google Tài liệu</t>
  </si>
  <si>
    <t>Module2</t>
  </si>
  <si>
    <t>CGHN005178</t>
  </si>
  <si>
    <t>Lê Trung Hiếu</t>
  </si>
  <si>
    <t>hadesnd1505@gmail.com</t>
  </si>
  <si>
    <t>CGHN005179</t>
  </si>
  <si>
    <t>Phạm Đăng Quyết</t>
  </si>
  <si>
    <t>dangquyet.vttb@gmail.com</t>
  </si>
  <si>
    <t>Homework Module2</t>
  </si>
  <si>
    <t>CHUẨN BỊ BÀI MODULE 2</t>
  </si>
  <si>
    <t>CGHN005180</t>
  </si>
  <si>
    <t>Phạm Văn Hồng</t>
  </si>
  <si>
    <t>hongxitrum2005@gmail.com</t>
  </si>
  <si>
    <t>https://docs.google.com/document/d/18vQ7AiF-GxWnk28vU-nN-vPVfo9lNZ1lopsR7sd3CD0/edit</t>
  </si>
  <si>
    <t>CGHN005181</t>
  </si>
  <si>
    <t>Nguyễn Thành Sang</t>
  </si>
  <si>
    <t>thanhsangsuperdeptrai963@gmail.com</t>
  </si>
  <si>
    <t>https://docs.google.com/document/d/1Wf0rjulF_iEP21bSigx545qwL74F0yQN9a7tP0HexW4/edit</t>
  </si>
  <si>
    <t>CGHN005182</t>
  </si>
  <si>
    <t>Nguyễn Tấn Phon</t>
  </si>
  <si>
    <t>ntphon37@gmail.com</t>
  </si>
  <si>
    <t>Bài tập module 2</t>
  </si>
  <si>
    <t>Bài chuẩn bị Module 2</t>
  </si>
  <si>
    <t xml:space="preserve">Cơ Sở Dữ Liệu Quan Hệ </t>
  </si>
  <si>
    <t>Nắm được cơ sở dữ liệu.
Phân biệt được cơ sở dữ liệu và file.
Nắm được cơ sở dữ liệu quan hệ.
Sử dụng một số lệnh cơ bản.</t>
  </si>
  <si>
    <r>
      <rPr>
        <sz val="12"/>
        <color theme="1"/>
        <rFont val="Times New Roman"/>
      </rPr>
      <t>- Tìm hiểu các câu lệnh cơ bản trong SQL (Đặc biệt là truy vấn) và thực hành trên MySQL Workbrench.
- Tìm hiểu trước bài: Phân tích và thiết kế cơ sở dữ liệu (Quan trọng</t>
    </r>
    <r>
      <rPr>
        <sz val="12"/>
        <color rgb="FFFF0000"/>
        <rFont val="Times New Roman"/>
      </rPr>
      <t>*</t>
    </r>
    <r>
      <rPr>
        <sz val="12"/>
        <color theme="1"/>
        <rFont val="Times New Roman"/>
      </rPr>
      <t>)</t>
    </r>
  </si>
  <si>
    <r>
      <rPr>
        <sz val="12"/>
        <color rgb="FF000000"/>
        <rFont val="Times New Roman"/>
      </rPr>
      <t xml:space="preserve">- Đưa kiến thức vào MindMap.
- Cài đặt MySQL Workbrench
- Đọc các bài đọc, Thực hành.
- Luyện tập các câu lệnh cơ bản trên MySQL Workbrench: select, creat, drop, update, alter, drop.
- Hoàn thành quizz và bài tập trên James: </t>
    </r>
    <r>
      <rPr>
        <u/>
        <sz val="12"/>
        <color rgb="FF1155CC"/>
        <rFont val="Times New Roman"/>
      </rPr>
      <t>https://james.codegym.vn/course/view.php?id=545&amp;section=1</t>
    </r>
  </si>
  <si>
    <t>Thiết kế và Tạo Cơ Sở Dữ Liệu</t>
  </si>
  <si>
    <t xml:space="preserve">Các ràng buộc trong CSDL
Hiểu ý nghĩa và tạo được khóa chính.
Các kiểu dữ liệu trong SQL.
Thiết kế CSDL.
Nắm được các câu lệnh: INSERT, SELECT, UPDATE, DELETE, WHERE,..
</t>
  </si>
  <si>
    <r>
      <rPr>
        <sz val="12"/>
        <rFont val="Times New Roman"/>
      </rPr>
      <t xml:space="preserve">- Đọc các bài đọc, thực hành
- Hoàn thành quizz và bài tập trên James: </t>
    </r>
    <r>
      <rPr>
        <u/>
        <sz val="12"/>
        <color rgb="FF1155CC"/>
        <rFont val="Times New Roman"/>
      </rPr>
      <t>https://james.codegym.vn/course/view.php?id=545&amp;section=2</t>
    </r>
    <r>
      <rPr>
        <sz val="12"/>
        <rFont val="Times New Roman"/>
      </rPr>
      <t xml:space="preserve">
- Bài tập thiết kế CSDL: </t>
    </r>
    <r>
      <rPr>
        <u/>
        <sz val="12"/>
        <color rgb="FF1155CC"/>
        <rFont val="Times New Roman"/>
      </rPr>
      <t>https://drive.google.com/file/d/1p0MOU3Mp5VKDbtgB6gXSv68I_LjNFKvP/view?usp=sharing</t>
    </r>
  </si>
  <si>
    <r>
      <rPr>
        <sz val="11"/>
        <color rgb="FF000000"/>
        <rFont val="Times New Roman"/>
      </rPr>
      <t xml:space="preserve">- Đưa kiến thức vào MindMap.
- Hoàn thành bài tập ở cuối bài hôm nay trong Document Module 3 (Java) - </t>
    </r>
    <r>
      <rPr>
        <u/>
        <sz val="11"/>
        <color rgb="FF1155CC"/>
        <rFont val="Times New Roman"/>
      </rPr>
      <t>https://docs.google.com/document/d/1r4XKbef4vH3w8AXPj1C7FGBOoW1j24jqT1MdN1DB7Wg/edit?usp=sharing</t>
    </r>
    <r>
      <rPr>
        <sz val="11"/>
        <color rgb="FF000000"/>
        <rFont val="Times New Roman"/>
      </rPr>
      <t xml:space="preserve">
- Bài tập thiết kế CSDL: </t>
    </r>
    <r>
      <rPr>
        <u/>
        <sz val="11"/>
        <color rgb="FF1155CC"/>
        <rFont val="Times New Roman"/>
      </rPr>
      <t>https://drive.google.com/file/d/1p0MOU3Mp5VKDbtgB6gXSv68I_LjNFKvP/view?usp=sharing</t>
    </r>
    <r>
      <rPr>
        <sz val="11"/>
        <color rgb="FF000000"/>
        <rFont val="Times New Roman"/>
      </rPr>
      <t xml:space="preserve">
Các nhóm tạo doc =&gt; làm bài =&gt; chụp lại ảnh và nộp link trên slack</t>
    </r>
  </si>
  <si>
    <t xml:space="preserve">Thao tác với CSDL + Hàm </t>
  </si>
  <si>
    <t xml:space="preserve">Nắm được cách sử dụng các câu lệnh lưu trữ : db, table
Sử dụng các câu lệnh trong mysql: select, from, where.
Sử dụng toán tử so sánh.
Sử dụng join: join, left join, right join, full outer join.
Sử dụng group by, having.
Sử dụng các hàm (sum, avg, min, max, count)
=&gt; Áp dụng tất cả vào bài tập giảng viên giao.
</t>
  </si>
  <si>
    <r>
      <rPr>
        <sz val="12"/>
        <rFont val="Times New Roman"/>
      </rPr>
      <t xml:space="preserve">- Đọc các bài đọc, thực hành
- Hoàn thành quizz và bài tập trên James: </t>
    </r>
    <r>
      <rPr>
        <u/>
        <sz val="12"/>
        <color rgb="FF1155CC"/>
        <rFont val="Times New Roman"/>
      </rPr>
      <t>https://james.codegym.vn/course/view.php?id=545&amp;section=3</t>
    </r>
    <r>
      <rPr>
        <sz val="12"/>
        <rFont val="Times New Roman"/>
      </rPr>
      <t xml:space="preserve">
- Bài tập thiết kế CSDL: </t>
    </r>
    <r>
      <rPr>
        <u/>
        <sz val="12"/>
        <color rgb="FF1155CC"/>
        <rFont val="Times New Roman"/>
      </rPr>
      <t xml:space="preserve">https://drive.google.com/file/d/1p0MOU3Mp5VKDbtgB6gXSv68I_LjNFKvP/view?usp=sharing
</t>
    </r>
    <r>
      <rPr>
        <sz val="12"/>
        <rFont val="Times New Roman"/>
      </rPr>
      <t xml:space="preserve">- Hoàn thành bài tập truy vấn: </t>
    </r>
    <r>
      <rPr>
        <u/>
        <sz val="12"/>
        <color rgb="FF1155CC"/>
        <rFont val="Times New Roman"/>
      </rPr>
      <t>https://docs.google.com/document/d/1xnoAZgVbTzX4BVDbxTlMCsbvuTYe94Wy-5FQc1X9hTU/edit?usp=sharing</t>
    </r>
  </si>
  <si>
    <r>
      <rPr>
        <sz val="11"/>
        <color rgb="FF000000"/>
        <rFont val="Times New Roman"/>
      </rPr>
      <t xml:space="preserve">- Tổng hợp kiến thức vào MindMap.
- Lấy Database có sẵn từ giảng viên.
- Hoàn thành các yêu cầu sau: </t>
    </r>
    <r>
      <rPr>
        <u/>
        <sz val="11"/>
        <color rgb="FF1155CC"/>
        <rFont val="Times New Roman"/>
      </rPr>
      <t>https://docs.google.com/document/d/1xnoAZgVbTzX4BVDbxTlMCsbvuTYe94Wy-5FQc1X9hTU/edit?usp=sharing</t>
    </r>
  </si>
  <si>
    <t xml:space="preserve"> Tổng Quan JAVA
</t>
  </si>
  <si>
    <t>Vòng lặp trong Java</t>
  </si>
  <si>
    <t xml:space="preserve">- Nắm được cách sử dụng:
+ Vòng lặp for
+ Vòng lặp while
+ Vòng lặp do while
- Sử dụng từ khóa break và continue.
</t>
  </si>
  <si>
    <t>- Đọc thêm các bài đọc trên James</t>
  </si>
  <si>
    <t>Mảng và Phương Thức</t>
  </si>
  <si>
    <t xml:space="preserve">- Tìm hiểu về tham trị và tham chiếu.
- Nắm được cách khai báo và sử dụng mảng trong Java.
- Cú pháp và thao tác với phương thức trong Java.
</t>
  </si>
  <si>
    <t xml:space="preserve">Lớp và Đối tượng </t>
  </si>
  <si>
    <r>
      <rPr>
        <sz val="11"/>
        <color theme="1"/>
        <rFont val="Times New Roman"/>
      </rPr>
      <t xml:space="preserve">- Nắm được mô hình lập trình hướng đối tượng OOP
- Nắm khái niệm và cách sử dụng </t>
    </r>
    <r>
      <rPr>
        <b/>
        <i/>
        <sz val="11"/>
        <color theme="1"/>
        <rFont val="Times New Roman"/>
      </rPr>
      <t>lớp, đối tượng, phương thức, thuộc tín</t>
    </r>
    <r>
      <rPr>
        <sz val="11"/>
        <color theme="1"/>
        <rFont val="Times New Roman"/>
      </rPr>
      <t xml:space="preserve">h của đối tượng trong Java
- Cách truy xuất thuộc tính và phương thức.
- Vẽ được UML </t>
    </r>
  </si>
  <si>
    <r>
      <rPr>
        <sz val="11"/>
        <color theme="1"/>
        <rFont val="Times New Roman"/>
      </rPr>
      <t>Ôn tập các kiến thức đã học.
Tìm hiểu về khái niệm và cách triển khai Access modifier, static method, static property trong Java (</t>
    </r>
    <r>
      <rPr>
        <b/>
        <i/>
        <sz val="11"/>
        <color theme="1"/>
        <rFont val="Times New Roman"/>
      </rPr>
      <t>Kiến thức cần nắm bài tiếp theo</t>
    </r>
    <r>
      <rPr>
        <sz val="11"/>
        <color theme="1"/>
        <rFont val="Times New Roman"/>
      </rPr>
      <t>)</t>
    </r>
  </si>
  <si>
    <t xml:space="preserve">Access modifier, static method, static property
</t>
  </si>
  <si>
    <t>- Hiểu được về package và import.
- Tính đóng gói trong Java.
- Hiểu được các loại access modifier và phân biệt chúng.
- Trình bày được getter/ setter.
- Từ khóa static.
- Phân biệt các thành phần của lớp với các thành phần của đối tượng.</t>
  </si>
  <si>
    <r>
      <rPr>
        <sz val="11"/>
        <color theme="1"/>
        <rFont val="Times New Roman"/>
      </rPr>
      <t xml:space="preserve">Thêm kiến thức đã học vào MindMap
* Luyện tập sử dụng static:
</t>
    </r>
    <r>
      <rPr>
        <b/>
        <sz val="11"/>
        <color theme="1"/>
        <rFont val="Times New Roman"/>
      </rPr>
      <t>Bài Tập</t>
    </r>
    <r>
      <rPr>
        <sz val="11"/>
        <color theme="1"/>
        <rFont val="Times New Roman"/>
      </rPr>
      <t xml:space="preserve">: Tạo một lớp Circle có trường private là id và radius, có thuộc tính hằng static là PI bằng 3.14. 
- Viết chương trình sao cho khi khởi tạo đối tượng của Circle thì id của các đối tượng có thể tự tăng.
- In ra số lượng đối tượng được tạo từ lớp Circle.
- Viết hàm tính diện tích, chu vi.
- Xác định hình tròn có bán kính lớn nhất dựa vào thêm thuộc tính maxRadius.
- Viết hàm có thể hiển thị tổng diện tích các hình tròn được tạo ra từ lớp Circle.
=&gt;Các yêu cầu phải được xử lý trong lớp Circle, tạo một class Main để chạy và chỉ có nhiệm gọi các hàm mà bạn vừa tạo.
Mọi người xác định xem cái nào static cái nào không.
Đọc hiểu các bài đọc, thử lại thực hành và làm quizz.
</t>
    </r>
  </si>
  <si>
    <t>Kế thừa</t>
  </si>
  <si>
    <t xml:space="preserve">- Nắm được tính chất kế thừa trong OOP.
- Cách triển khai kế thừa trong Java.
- Các loại kế thừa và các loại kế thừa trong Java.
- Từ khóa super.
- Hiểu và triển khai được ghi đè và nạp chồng.
- Tính đa hình và thể hiện của nó trong Java.
</t>
  </si>
  <si>
    <t>Abstract Class và Interface</t>
  </si>
  <si>
    <t xml:space="preserve">- Hiểu được tính chất Tính trừu tượng.
- Hiểu và triển khai được Abstract Class. 
- Hiểu và triển khai được Interface.
</t>
  </si>
  <si>
    <t>Clean Code</t>
  </si>
  <si>
    <t>- Nắm được cách triển khai các tiêu chuẩn để có mã nguồn tốt</t>
  </si>
  <si>
    <t xml:space="preserve">
(Tạo mỗi lớp môt file)
Cho một lớp Student có id, name, một mảng chứa 3 điểm, giới tính, có các hàm get/set và một hàm tính điểm trung bình.
Một lớp StudentManager thuộc tính là một mảng các sinh viên, thực hiện tạo các hàm thêm, sửa, xóa sinh viên.
+ Tạo hàm tính ra điểm trung bình của các học viên lớp đó.
+ Tạo hàm tìm kiếm học viên theo ID.
+ Tạo hàm tìm kiếm học viên theo tên gần đúng .
+ Tạo một hàm lấy ra học viên có điểm trung bình lớn nhất.
Tạo một lớp Main thực hiện tạo các sinh viên rồi sử dụng các hàm đã có ở StudentManager.
</t>
  </si>
  <si>
    <t xml:space="preserve">Automation &amp; TDD
</t>
  </si>
  <si>
    <r>
      <rPr>
        <i/>
        <sz val="11"/>
        <color rgb="FF000000"/>
        <rFont val="Times New Roman"/>
      </rPr>
      <t>Đọc thêm</t>
    </r>
    <r>
      <rPr>
        <i/>
        <sz val="11"/>
        <color rgb="FFCC0000"/>
        <rFont val="Times New Roman"/>
      </rPr>
      <t>*</t>
    </r>
  </si>
  <si>
    <r>
      <rPr>
        <i/>
        <sz val="11"/>
        <color rgb="FF000000"/>
        <rFont val="Times New Roman"/>
      </rPr>
      <t>Đọc thêm</t>
    </r>
    <r>
      <rPr>
        <i/>
        <sz val="11"/>
        <color rgb="FFCC0000"/>
        <rFont val="Times New Roman"/>
      </rPr>
      <t xml:space="preserve"> </t>
    </r>
    <r>
      <rPr>
        <i/>
        <sz val="11"/>
        <color rgb="FF000000"/>
        <rFont val="Times New Roman"/>
      </rPr>
      <t>Automation &amp; TDD trên document của Ning, đọc các bài đọc và thử lại các bài thực hành có trên James</t>
    </r>
  </si>
  <si>
    <t>DSA Danh Sách</t>
  </si>
  <si>
    <t xml:space="preserve">- Nắm được dữ liệu, thông tin và các loại cấu trúc dữ liệu cơ bản.
- Nắm được thuật toán là gì.
- Tìm hiểu Java Collection Framework.
- Tìm hiểu về ArrayList và LinkedList.
- Triển khai bài quản lý với ArrayList.
</t>
  </si>
  <si>
    <r>
      <rPr>
        <sz val="12"/>
        <color theme="1"/>
        <rFont val="Times New Roman"/>
      </rPr>
      <t xml:space="preserve">- Đọc thêm bài đọc và thực hành trên James để hiểu hơn về cấu trúc dữ liệu ArrayList và LinkedList. (Bài tập không bắt buộc </t>
    </r>
    <r>
      <rPr>
        <sz val="12"/>
        <color rgb="FFFF0000"/>
        <rFont val="Times New Roman"/>
      </rPr>
      <t>*</t>
    </r>
    <r>
      <rPr>
        <sz val="12"/>
        <color theme="1"/>
        <rFont val="Times New Roman"/>
      </rPr>
      <t xml:space="preserve">)
- Làm bài quản lý sau bằng ArrayList:
Để quản lý hồ sơ học sinh của trường THPT nhà trường cần các các thông tin về cá nhân của mỗi học sinh.
Mỗi học sinh có các thông tin sau: ID, Họ tên, tuổi, quê quán, lớp.
Yêu cầu 1: Xây dựng Student để quản lý thông tin của mỗi học sinh.
Yêu cầu 2: Xây dựng các phương thức thêm và sửa, xóa học sinh theo id, hiển thị thông tin của mỗi học sinh.
Yêu cầu 3: Cài đặt menu chương trình có các chức năng sau:  
1. Thêm học sinh mới.
2. Sửa học sinh.
3. Xóa học sinh.
4. Hiện thị các học sinh 20 tuổi.
5. Cho biết số lượng các học sinh có tuổi là 23 và quê ở Đà Nẵng.
</t>
    </r>
  </si>
  <si>
    <t>DSA (Stack, Queue)</t>
  </si>
  <si>
    <t xml:space="preserve">- Nắm được cơ chế của Stack.
- Nắm được cơ chế của Queue.
- Luyện tập làm bài tập quản lý.
</t>
  </si>
  <si>
    <t xml:space="preserve">
Làm bài quản lý sau:
Để quản lý các hộ dân cư trong một khu phố, người ta cần các thông tin sau: Số thành viên trong gia đình, Số nhà, thông tin mỗi cá nhân trong gia đình. Với mỗi cá nhân, người ta quản lý các thông tin sau: Họ tên, Tuổi, Nghề nghiệp, số chứng minh nhân dân(duy nhất cho mỗi người).
Yêu cầu 1: Hãy xây dựng lớp Nguoi để quản lý thông tin của mỗi cá nhân.
Yêu cầu 2: Xây dựng lớp HoGiaDinh để quản lý thông tin của từng hộ gia đình.
Yêu cầu 2: Xây dựng lớp KhuPho để quản lý các thông tin của từng hộ gia đình.
Yêu cầu 3: Nhập n hộ dân. (n nhập từ bàn phím), hiển thị thông tin của các hộ trong khu phố.
</t>
  </si>
  <si>
    <t>Map And Tree</t>
  </si>
  <si>
    <t xml:space="preserve">- Trình bày cấu trúc dữ liệu Map.
- Sử dụng Map trong Java Collection Framework.
- Trình bày cấu trúc dữ liệu tree.
</t>
  </si>
  <si>
    <t xml:space="preserve">
(Tạo mỗi lớp môt file)
Cho một lớp Student có id, name, một mảng chứa 3 điểm, giới tính, có các hàm get/set và một hàm tính điểm trung bình.
Một lớp StudentManager thuộc tính là một mảng các sinh viên, thực hiện tạo các hàm thêm, sửa, xóa sinh viên.
+ Tạo hàm tính ra điểm trung bình của các học viên lớp đó.
+ Tạo hàm tìm kiếm học viên theo ID.
+ Tạo hàm tìm kiếm học viên theo tên gần đúng .
+ Tạo một hàm lấy ra học viên có điểm trung bình lớn nhất.
Tạo một lớp Main thực hiện tạo các sinh viên rồi sử dụng các hàm đã có ở StudentManager.
SỬ DỤNG MAP
- Đọc thêm bài đọc và thực hành trên James để hiểu hơn về cấu trúc dữ liệu Stack And Queue. (Bài tập không bắt buộc *)</t>
  </si>
  <si>
    <t>Thuật toán tìm kiếm</t>
  </si>
  <si>
    <t xml:space="preserve">- Nắm và triển khai được thuật toán tìm kiếm tuyến tính.
- Nắm và triển khai được thuật toán tìm kiếm nhị phân.
- Tìm hiểu về độ phức tạp của thuật toán.
- Thực hành làm các bài thuật toán.
</t>
  </si>
  <si>
    <t>Thuật toán sắp xếp</t>
  </si>
  <si>
    <t xml:space="preserve">
- Nắm và triển khai được thuật toán sắp xếp nổi bọt.
- Nắm và triển khai được thuật toán sắp xếp chọn.
- Nắm và triển khai được thuật toán sắp xếp chèn.
- Thực hành làm các bài thuật toán.
</t>
  </si>
  <si>
    <t>Xử lý ngoại lệ và debug</t>
  </si>
  <si>
    <t xml:space="preserve">
- Nắm được ngoại lệ.
- Phân loại ngoại lệ trong Java.
- Nắm được cách xử lý ngoại lệ trong Java.
- Debug.
</t>
  </si>
  <si>
    <t>- Làm các bài thuật toán trên: Học thuật toán
- Làm các bài quản lý.</t>
  </si>
  <si>
    <t>IO: Text File</t>
  </si>
  <si>
    <t xml:space="preserve">- Thao tác cơ bản với file và thư mục trong Java.
- Ứng dụng file (Đọc và Ghi) trong bài tập quản lý.
- Hiểu được buffer
</t>
  </si>
  <si>
    <t>- Làm một vài bài tập quản lý (File Ning gửi) có lưu trữ dữ liệu trên FILE</t>
  </si>
  <si>
    <t>String</t>
  </si>
  <si>
    <t xml:space="preserve">- Trình bày được String trong Java.
- Khái niệm mutable và immutable.
- Các phương thức xử lý chuỗi có sẵn trong Java.
- Trình bày Regex và cách sử dụng chúng trong Java.
</t>
  </si>
  <si>
    <t xml:space="preserve">
- Ôn tập, tổng hợp kiến thức và  làm câu hỏi phỏng vấn.
- Làm các bài quản lý.
- Làm các bài thuật toán trên: Học thuật toán</t>
  </si>
  <si>
    <t>- Đi muộn (sau 8h00, hoặc không xin phép muộn trước 7h30)</t>
  </si>
  <si>
    <t>10k</t>
  </si>
  <si>
    <t>6 lần</t>
  </si>
  <si>
    <t>- Chơi game</t>
  </si>
  <si>
    <t>50k</t>
  </si>
  <si>
    <t>3 lần &lt;=&gt; đình chỉ</t>
  </si>
  <si>
    <t>- Gửi bài muộn (19h00-24h00 tối ngày nghỉ)</t>
  </si>
  <si>
    <t>- Suy nghĩ 1 vấn đề tối đa 15p</t>
  </si>
  <si>
    <t>- Nộp Ken muộn (8h20)</t>
  </si>
  <si>
    <t>Tài khoản web storm</t>
  </si>
  <si>
    <t>Hung191201382@lms.utc.edu.vn
nth050401</t>
  </si>
  <si>
    <t>Document Module 1</t>
  </si>
  <si>
    <t>Dạy Học Module 1</t>
  </si>
  <si>
    <t>Tài liệu HTML</t>
  </si>
  <si>
    <t>https://webcoban.vn/html/tai-lieu-hoc-html</t>
  </si>
  <si>
    <t>Record</t>
  </si>
  <si>
    <t>https://drive.google.com/drive/u/0/folders/1-vEolVETDAJdVvJ-Cf5TAoFLW-4qqC7n</t>
  </si>
  <si>
    <t>10 Tháng</t>
  </si>
  <si>
    <t>Module 1</t>
  </si>
  <si>
    <t>Module 3</t>
  </si>
  <si>
    <t>Module 4</t>
  </si>
  <si>
    <t>Module 5</t>
  </si>
  <si>
    <t>24 buổi</t>
  </si>
  <si>
    <t>24 buổi: dự án</t>
  </si>
  <si>
    <t>24 tuổi</t>
  </si>
  <si>
    <t>Tuần 1</t>
  </si>
  <si>
    <t>Tuần 2</t>
  </si>
  <si>
    <t>Tuần 3</t>
  </si>
  <si>
    <t>Tuần 4</t>
  </si>
  <si>
    <t>Tuần 5</t>
  </si>
  <si>
    <t>- Học
- Tự học
- Tổng hợp kiến thức tuần
- Báo cáo tuần</t>
  </si>
  <si>
    <t>Ngày đi học</t>
  </si>
  <si>
    <t>Đầu buổi</t>
  </si>
  <si>
    <t>Lý thuyết</t>
  </si>
  <si>
    <t>Thực hành</t>
  </si>
  <si>
    <t>Cuối buổi</t>
  </si>
  <si>
    <t>1. Điểm danh
2. Lập kế hoạch
3. Daily
- Nêu khó khăn trong các bài học trước
- Check tiến độ bài tập
4. Nhóm trưởng báo cáo tiến độ thành viên</t>
  </si>
  <si>
    <t>1. Xác định mục tiêu
2. Kiểm tra sự chuẩn bị bài
3. Các hoạt động học tập
4. Giao bài tập phải làm trong giờ thực hành</t>
  </si>
  <si>
    <t>1. Làm bài tập, hoạt động nhóm
2. Chữa bài tập
3. Hỗ trợ học viên yếu</t>
  </si>
  <si>
    <t>Phản tư:
- Đánh giá học tập bản thân
- Đánh giá giảng viên
- Đánh giá kiến thức</t>
  </si>
  <si>
    <t>Ngày nghỉ và Các buổi tối</t>
  </si>
  <si>
    <t>Cùng làm bài tập qua zoom với giảng viên (không ép buộc)</t>
  </si>
  <si>
    <t>Cảm ơn bạn đã cung cấp chi tiết chương trình học Java. Dựa vào:</t>
  </si>
  <si>
    <t>Lộ trình học bạn đưa,</t>
  </si>
  <si>
    <t>Các thông tin mình đã biết về bạn: bạn đang học lập trình Java Web (Servlet, JSP), tìm hiểu về Spring DI, Gradle, Java 21, sử dụng Eclipse/Pleiades, và bạn có nền tảng cơ bản về lập trình,</t>
  </si>
  <si>
    <r>
      <t xml:space="preserve">→ Mình đánh giá </t>
    </r>
    <r>
      <rPr>
        <b/>
        <sz val="10"/>
        <color rgb="FF000000"/>
        <rFont val="Arial"/>
        <family val="2"/>
        <scheme val="minor"/>
      </rPr>
      <t>module Java này là tốt, bài bản và bám sát thực tế.</t>
    </r>
    <r>
      <rPr>
        <sz val="10"/>
        <color rgb="FF000000"/>
        <rFont val="Arial"/>
        <family val="2"/>
        <scheme val="minor"/>
      </rPr>
      <t xml:space="preserve"> Tuy nhiên, </t>
    </r>
    <r>
      <rPr>
        <b/>
        <sz val="10"/>
        <color rgb="FF000000"/>
        <rFont val="Arial"/>
        <family val="2"/>
        <scheme val="minor"/>
      </rPr>
      <t>nội dung đang khá dài và dàn trải</t>
    </r>
    <r>
      <rPr>
        <sz val="10"/>
        <color rgb="FF000000"/>
        <rFont val="Arial"/>
        <family val="2"/>
        <scheme val="minor"/>
      </rPr>
      <t xml:space="preserve">, nên để học hiệu quả và </t>
    </r>
    <r>
      <rPr>
        <b/>
        <sz val="10"/>
        <color rgb="FF000000"/>
        <rFont val="Arial"/>
        <family val="2"/>
        <scheme val="minor"/>
      </rPr>
      <t>tập trung vào mục tiêu “ứng dụng được vào Web App”</t>
    </r>
    <r>
      <rPr>
        <sz val="10"/>
        <color rgb="FF000000"/>
        <rFont val="Arial"/>
        <family val="2"/>
        <scheme val="minor"/>
      </rPr>
      <t xml:space="preserve">, bạn cần được </t>
    </r>
    <r>
      <rPr>
        <b/>
        <sz val="10"/>
        <color rgb="FF000000"/>
        <rFont val="Arial"/>
        <family val="2"/>
        <scheme val="minor"/>
      </rPr>
      <t>chia nhỏ theo từng giai đoạn</t>
    </r>
    <r>
      <rPr>
        <sz val="10"/>
        <color rgb="FF000000"/>
        <rFont val="Arial"/>
        <family val="2"/>
        <scheme val="minor"/>
      </rPr>
      <t xml:space="preserve">, </t>
    </r>
    <r>
      <rPr>
        <b/>
        <sz val="10"/>
        <color rgb="FF000000"/>
        <rFont val="Arial"/>
        <family val="2"/>
        <scheme val="minor"/>
      </rPr>
      <t>gắn liền bài tập thực hành</t>
    </r>
    <r>
      <rPr>
        <sz val="10"/>
        <color rgb="FF000000"/>
        <rFont val="Arial"/>
        <family val="2"/>
        <scheme val="minor"/>
      </rPr>
      <t xml:space="preserve">, và có </t>
    </r>
    <r>
      <rPr>
        <b/>
        <sz val="10"/>
        <color rgb="FF000000"/>
        <rFont val="Arial"/>
        <family val="2"/>
        <scheme val="minor"/>
      </rPr>
      <t>điểm dừng hợp lý sau mỗi nhóm kiến thức</t>
    </r>
    <r>
      <rPr>
        <sz val="10"/>
        <color rgb="FF000000"/>
        <rFont val="Arial"/>
        <family val="2"/>
        <scheme val="minor"/>
      </rPr>
      <t>.</t>
    </r>
  </si>
  <si>
    <t>🧭 ĐÁNH GIÁ LỘ TRÌNH HIỆN TẠI</t>
  </si>
  <si>
    <t>Mảng kiến thức</t>
  </si>
  <si>
    <t>Đánh giá</t>
  </si>
  <si>
    <t>Gợi ý</t>
  </si>
  <si>
    <t>Tổng quan + Cú pháp Java cơ bản</t>
  </si>
  <si>
    <t>✅ Ổn định</t>
  </si>
  <si>
    <t>Nên thực hành bằng bài tập nhập xuất, toán học, v.v.</t>
  </si>
  <si>
    <t>Vòng lặp, mảng, phương thức</t>
  </si>
  <si>
    <t>✅ Cần nắm kỹ</t>
  </si>
  <si>
    <t>Làm bài tập quản lý dữ liệu đơn giản (ví dụ: danh sách học sinh)</t>
  </si>
  <si>
    <t>Lớp, đối tượng, kế thừa, abstract/interface</t>
  </si>
  <si>
    <t>🌟 Rất quan trọng</t>
  </si>
  <si>
    <t>Làm nhiều bài tập OOP (xem phần trước mình gửi)</t>
  </si>
  <si>
    <t>Clean code + TDD + DSA</t>
  </si>
  <si>
    <t>🔶 Nâng cao, chọn lọc học</t>
  </si>
  <si>
    <t>Học song song, tùy theo thời gian</t>
  </si>
  <si>
    <t>Exception, File IO, Debug, String</t>
  </si>
  <si>
    <t>✅ Cần biết</t>
  </si>
  <si>
    <t>Gắn vào bài tập quản lý thực tế (CRUD text file)</t>
  </si>
  <si>
    <t>✅ ROADMAP CHI TIẾT ĐỀ XUẤT PHÙ HỢP VỚI BẠN</t>
  </si>
  <si>
    <t>📌 MỤC TIÊU:</t>
  </si>
  <si>
    <t>"Hiểu chắc OOP + Áp dụng để phát triển web app Java (Servlet, JSP, Spring sau này)"</t>
  </si>
  <si>
    <t>📦 Giai đoạn 1: Nền tảng Java (2 tuần)</t>
  </si>
  <si>
    <t>🎯 Mục tiêu:</t>
  </si>
  <si>
    <t>Nắm cú pháp Java, vòng lặp, mảng, phương thức, nhập xuất cơ bản.</t>
  </si>
  <si>
    <t>📘 Chủ đề:</t>
  </si>
  <si>
    <t>Khai báo biến, toán tử</t>
  </si>
  <si>
    <t>If/else, switch</t>
  </si>
  <si>
    <t>For, while, do-while, break/continue</t>
  </si>
  <si>
    <t>Array 1 chiều</t>
  </si>
  <si>
    <t>Phương thức và tham trị/tham chiếu</t>
  </si>
  <si>
    <t>🛠 Bài tập:</t>
  </si>
  <si>
    <t>Tính toán (BMI, máy tính mini)</t>
  </si>
  <si>
    <t>Quản lý mảng số, mảng chuỗi</t>
  </si>
  <si>
    <t>Viết hàm kiểm tra số nguyên tố, đảo chuỗi, v.v.</t>
  </si>
  <si>
    <t>📦 Giai đoạn 2: Lập trình Hướng Đối Tượng Java (2–3 tuần)</t>
  </si>
  <si>
    <t>Hiểu OOP, áp dụng class, kế thừa, interface.</t>
  </si>
  <si>
    <t>Lớp, đối tượng, constructor, method</t>
  </si>
  <si>
    <t>Access modifier, static, getter/setter</t>
  </si>
  <si>
    <t>Kế thừa, ghi đè, super, abstract class, interface</t>
  </si>
  <si>
    <t>UML đơn giản</t>
  </si>
  <si>
    <t>Quản lý sinh viên/hàng hóa/Sách/Todo list</t>
  </si>
  <si>
    <t>Mô hình hóa hóa đơn, giỏ hàng</t>
  </si>
  <si>
    <t>Dùng abstract/interface mô phỏng động vật/nhân viên</t>
  </si>
  <si>
    <r>
      <t xml:space="preserve">✅ </t>
    </r>
    <r>
      <rPr>
        <b/>
        <sz val="10"/>
        <color rgb="FF000000"/>
        <rFont val="Arial"/>
        <family val="2"/>
        <scheme val="minor"/>
      </rPr>
      <t>Lúc này có thể chuyển qua xây app Java Web nhỏ dùng Servlet</t>
    </r>
  </si>
  <si>
    <t>📦 Giai đoạn 3: Làm quen Clean Code + Exception + File IO (1–2 tuần)</t>
  </si>
  <si>
    <t>Mã sạch, xử lý lỗi, đọc/ghi file đơn giản.</t>
  </si>
  <si>
    <t>Coding convention</t>
  </si>
  <si>
    <t>Try-catch-finally, checked/unchecked</t>
  </si>
  <si>
    <r>
      <t xml:space="preserve">File đọc/ghi </t>
    </r>
    <r>
      <rPr>
        <sz val="10"/>
        <color rgb="FF000000"/>
        <rFont val="Arial Unicode MS"/>
      </rPr>
      <t>.txt</t>
    </r>
    <r>
      <rPr>
        <sz val="10"/>
        <color rgb="FF000000"/>
        <rFont val="Arial"/>
        <family val="2"/>
        <scheme val="minor"/>
      </rPr>
      <t>, buffer</t>
    </r>
  </si>
  <si>
    <t>CRUD sinh viên qua file</t>
  </si>
  <si>
    <t>Tìm kiếm file, backup dữ liệu, v.v.</t>
  </si>
  <si>
    <t>Tự viết log file cho app</t>
  </si>
  <si>
    <t>📦 Giai đoạn 4: Cấu trúc dữ liệu Java + thuật toán cơ bản (2 tuần)</t>
  </si>
  <si>
    <t>Làm quen Java Collection, danh sách, stack/queue/map.</t>
  </si>
  <si>
    <t>ArrayList, LinkedList, HashMap, TreeMap</t>
  </si>
  <si>
    <t>Stack, Queue (Deque, PriorityQueue)</t>
  </si>
  <si>
    <t>Bubble sort, Selection sort, Linear/Binary search</t>
  </si>
  <si>
    <t>Độ phức tạp O(n)</t>
  </si>
  <si>
    <t>Quản lý lớp học bằng ArrayList</t>
  </si>
  <si>
    <t>Sắp xếp, tìm kiếm sinh viên</t>
  </si>
  <si>
    <t>Bài toán stack (tính biểu thức), queue (lượt khách)</t>
  </si>
  <si>
    <t>📦 Giai đoạn 5: Ôn luyện chuyên đề Java Web (kết nối mục tiêu của bạn) (2–3 tuần)</t>
  </si>
  <si>
    <t>Gắn Java OOP vào các app nhỏ có giao diện web (Servlet/JSP).</t>
  </si>
  <si>
    <r>
      <t xml:space="preserve">Tạo class </t>
    </r>
    <r>
      <rPr>
        <sz val="10"/>
        <color rgb="FF000000"/>
        <rFont val="Arial Unicode MS"/>
      </rPr>
      <t>User</t>
    </r>
    <r>
      <rPr>
        <sz val="10"/>
        <color rgb="FF000000"/>
        <rFont val="Arial"/>
        <family val="2"/>
        <scheme val="minor"/>
      </rPr>
      <t xml:space="preserve">, </t>
    </r>
    <r>
      <rPr>
        <sz val="10"/>
        <color rgb="FF000000"/>
        <rFont val="Arial Unicode MS"/>
      </rPr>
      <t>Todo</t>
    </r>
    <r>
      <rPr>
        <sz val="10"/>
        <color rgb="FF000000"/>
        <rFont val="Arial"/>
        <family val="2"/>
        <scheme val="minor"/>
      </rPr>
      <t xml:space="preserve">, </t>
    </r>
    <r>
      <rPr>
        <sz val="10"/>
        <color rgb="FF000000"/>
        <rFont val="Arial Unicode MS"/>
      </rPr>
      <t>Order</t>
    </r>
    <r>
      <rPr>
        <sz val="10"/>
        <color rgb="FF000000"/>
        <rFont val="Arial"/>
        <family val="2"/>
        <scheme val="minor"/>
      </rPr>
      <t>, v.v. để phục vụ cho controller</t>
    </r>
  </si>
  <si>
    <t>Làm app MVC: Front (HTML+JS) ↔ Java Servlet</t>
  </si>
  <si>
    <t>Chuyển sang Spring Boot sau khi ổn định OOP</t>
  </si>
  <si>
    <t>⏭️ Tiếp theo sau roadmap này?</t>
  </si>
  <si>
    <r>
      <t xml:space="preserve">Bạn có thể bắt đầu học </t>
    </r>
    <r>
      <rPr>
        <b/>
        <sz val="10"/>
        <color rgb="FF000000"/>
        <rFont val="Arial"/>
        <family val="2"/>
        <scheme val="minor"/>
      </rPr>
      <t>Java Web</t>
    </r>
    <r>
      <rPr>
        <sz val="10"/>
        <color rgb="FF000000"/>
        <rFont val="Arial"/>
        <family val="2"/>
        <scheme val="minor"/>
      </rPr>
      <t>: Servlet → JSP → JDBC → Spring MVC</t>
    </r>
  </si>
  <si>
    <r>
      <t xml:space="preserve">Học song song về </t>
    </r>
    <r>
      <rPr>
        <b/>
        <sz val="10"/>
        <color rgb="FF000000"/>
        <rFont val="Arial"/>
        <family val="2"/>
        <scheme val="minor"/>
      </rPr>
      <t>MySQL + JDBC</t>
    </r>
  </si>
  <si>
    <t>Làm các project nhỏ như:</t>
  </si>
  <si>
    <t>Quản lý TodoList</t>
  </si>
  <si>
    <t>App đăng nhập người dùng</t>
  </si>
  <si>
    <t>CRUD sản phẩm (quản lý giỏ hàng)</t>
  </si>
  <si>
    <t>Nếu bạn muốn, mình có thể giúp bạn tạo kế hoạch theo ngày/tuần, hoặc xây dựng checklist từng bước cho từng phần.</t>
  </si>
  <si>
    <t>Bạn muốn mình làm bước nào tiếp theo cho bạn không? Ví dụ: giúp bạn ôn OOP bằng quiz hoặc thiết kế project Java đầu tay?</t>
  </si>
  <si>
    <t>Dựa trên mục tiêu mới của bạn, Trung, mình sẽ thiết kế một roadmap cá nhân hoá gồm 3 hướng phát triển song song: **lập trình thực chiến**, **ôn luyện thi Java Silver**, và **nền tảng tư duy kỹ thuật quản lý/phân tích – dành cho PM hoặc IT consultant**. Mỗi phần sẽ tận dụng những gì bạn đã học trong module Java và thế mạnh tư duy logic + kỹ năng OOP bạn đang có. Let’s tailor this to your ambition! 🚀</t>
  </si>
  <si>
    <t>---</t>
  </si>
  <si>
    <t>## 🎯 **Tóm tắt mục tiêu cá nhân**</t>
  </si>
  <si>
    <t>| STT | Mục tiêu cá nhân                                      | Ý nghĩa đối với roadmap |</t>
  </si>
  <si>
    <t>|-----|--------------------------------------------------------|--------------------------|</t>
  </si>
  <si>
    <t>| 1   | Tự xây dựng web app cá nhân                            | Cần kỹ năng lập trình toàn diện, từ xử lý dữ liệu đến UI |</t>
  </si>
  <si>
    <t>| 2   | Thi chứng chỉ Java Silver (Oracle)                    | Cần luyện cú pháp, OOP, exception, API, v.v. theo chuẩn Oracle |</t>
  </si>
  <si>
    <t>| 3   | Định hướng PM/Consultant                              | Cần hiểu rõ vòng đời phần mềm + kỹ thuật phân tích, UML, Clean Code |</t>
  </si>
  <si>
    <t>## 🗺️ **Roadmap học tập 3 trục**</t>
  </si>
  <si>
    <t>### 🛠 Trục 1 — Tự xây dựng Web App cá nhân (JS + OOP + UI Logic)</t>
  </si>
  <si>
    <t>| Giai đoạn | Kiến thức cần làm chủ                      | Gợi ý thực hành                                     |</t>
  </si>
  <si>
    <t>|-----------|--------------------------------------------|-----------------------------------------------------|</t>
  </si>
  <si>
    <t>| ✅ Căn bản JS + DOM        | `querySelector`, event handling, table rendering       | Viết bảng bài viết có thêm/sửa/xoá từ localStorage |</t>
  </si>
  <si>
    <t>| ✅ OOP JS                  | class, constructor, prototype, kế thừa cơ bản           | Viết lại `ThreadChanel` với chuẩn OOP rõ ràng      |</t>
  </si>
  <si>
    <t>| ✅ Async JS                | `fetch`, `async/await`, xử lý lỗi `try/catch`           | Kết nối API `dummyjson` để render bài viết         |</t>
  </si>
  <si>
    <t>| 📦 LocalStorage + Pagination | lưu, lấy dữ liệu, chia trang                             | Làm blog mini hiển thị 3 bài/trang, có search      |</t>
  </si>
  <si>
    <t>| 🎯 Mini WebApp cá nhân    | CRUD dữ liệu, tìm kiếm, xử lý DOM                       | Làm app “Quản lý task cá nhân”, lưu bằng local/API |</t>
  </si>
  <si>
    <t>| 🎁 Nâng cấp UI             | responsive + hiệu ứng cơ bản                            | Dùng CSS/JS để tạo modal form + xác nhận khi xoá   |</t>
  </si>
  <si>
    <t>🔖 *Kỹ năng quản lý cấu trúc code, tách UI + logic là điểm bạn nên cải thiện để mở rộng ứng dụng dễ dàng.*</t>
  </si>
  <si>
    <t>### 🎓 Trục 2 — Ôn luyện Java Silver (Oracle Certified Java Programmer – OCA)</t>
  </si>
  <si>
    <t>| Chủ đề trọng tâm Silver            | Trạng thái hiện tại | Cần làm thêm gì                                      |</t>
  </si>
  <si>
    <t>|-----------------------------------|----------------------|------------------------------------------------------|</t>
  </si>
  <si>
    <t>| ✅ Biến, kiểu dữ liệu, toán tử      | Bạn đã học vững       | Ôn luyện thêm phần ép kiểu ngầm, overflow            |</t>
  </si>
  <si>
    <t>| ✅ Vòng lặp + điều kiện             | Đã học rõ ràng        | Luyện các câu hỏi “gài” trong đề thi                 |</t>
  </si>
  <si>
    <t>| 🟢 Array &amp; Method                  | Biết sử dụng          | Ôn lại tham trị vs tham chiếu                        |</t>
  </si>
  <si>
    <t>| 🟡 Access Modifier &amp; Static        | Cần phân biệt rõ      | Phân biệt static method/property với instance        |</t>
  </si>
  <si>
    <t>| 🟡 OOP (Kế thừa, đa hình)          | Biết viết class tốt   | Làm bài nhận diện kế thừa, ghi đè (`@Override`)      |</t>
  </si>
  <si>
    <t>| 🟡 Exception Handling              | Cần luyện sâu         | Hiểu sự khác nhau giữa `Runtime` vs `Checked`        |</t>
  </si>
  <si>
    <t>| 🔴 Java API / Wrapper Class        | Còn trống             | Tìm hiểu về lớp `Integer`, `Double`, `String` methods|</t>
  </si>
  <si>
    <t>| 🔴 Java Flow Control               | Chưa thực hành đủ     | Hiểu sự khác biệt giữa `return`, `break`, `continue`|</t>
  </si>
  <si>
    <t>🧠 Gợi ý:</t>
  </si>
  <si>
    <t>- Làm đề thi thử trên [Enthuware](https://enthuware.com/oca)</t>
  </si>
  <si>
    <t>- Dùng [JavaRush](https://javarush.com/) hoặc [Exercism.org](https://exercism.org/tracks/java) để luyện hands-on code</t>
  </si>
  <si>
    <t>### 📈 Trục 3 — Chuẩn bị trở thành PM hoặc IT Consultant</t>
  </si>
  <si>
    <t>| Năng lực cần phát triển            | Gợi ý học &amp; thực hành                                    |</t>
  </si>
  <si>
    <t>|-----------------------------------|----------------------------------------------------------|</t>
  </si>
  <si>
    <t>| 💬 Kỹ năng phân tích yêu cầu       | Tập viết đặc tả chức năng (requirement specification)    |</t>
  </si>
  <si>
    <t>| 🧱 Thiết kế UML                    | Vẽ class diagram + sequence diagram cho project đã làm   |</t>
  </si>
  <si>
    <t>| 🧹 Clean Code &amp; Refactor           | Đọc thêm [Clean Code – Java edition]                     |</t>
  </si>
  <si>
    <t>| ✅ Lập kế hoạch dự án nhỏ          | Tự chia task, deadline khi làm mini web app cá nhân      |</t>
  </si>
  <si>
    <t>| 🧠 Ra quyết định kỹ thuật          | So sánh `ArrayList` và `LinkedList`, lựa chọn thuật toán |</t>
  </si>
  <si>
    <t>| 📊 Communication kỹ thuật         | Viết tài liệu mô tả lại project + chia sẻ dạng báo cáo  |</t>
  </si>
  <si>
    <t>🧠 Gợi ý thêm:</t>
  </si>
  <si>
    <t>## 🧩 Tổng hợp dạng sơ đồ</t>
  </si>
  <si>
    <t>```plaintext</t>
  </si>
  <si>
    <t xml:space="preserve">         +-----------------+</t>
  </si>
  <si>
    <t xml:space="preserve">         |  Mục tiêu số 1  | → Xây dựng WebApp cá nhân (JS)</t>
  </si>
  <si>
    <t xml:space="preserve">                   ↓</t>
  </si>
  <si>
    <t xml:space="preserve">     +--------------------------+</t>
  </si>
  <si>
    <t xml:space="preserve">     | OOP JS + DOM + Async API |</t>
  </si>
  <si>
    <t xml:space="preserve">         +-------------------+</t>
  </si>
  <si>
    <t xml:space="preserve">         |    Mini Project   | ← Tự đánh giá: logic, UI, storage</t>
  </si>
  <si>
    <t xml:space="preserve">         |  Mục tiêu số 2  | → Thi Java Silver (Oracle)</t>
  </si>
  <si>
    <t xml:space="preserve">     +------------------------------+</t>
  </si>
  <si>
    <t xml:space="preserve">     | Ôn lý thuyết + làm đề luyện |</t>
  </si>
  <si>
    <t xml:space="preserve">         |  Mục tiêu số 3  | → Trở thành PM / Consultant</t>
  </si>
  <si>
    <t xml:space="preserve">     +---------------------------+</t>
  </si>
  <si>
    <t xml:space="preserve">     | UML, Clean Code, Planning |</t>
  </si>
  <si>
    <t>```</t>
  </si>
  <si>
    <t>Nếu bạn muốn, mình có thể:</t>
  </si>
  <si>
    <t>- Lên kế hoạch học 7 tuần chia theo từng giai đoạn.</t>
  </si>
  <si>
    <t>Bạn thích cách nào? Chọn kiểu học phù hợp là bước đầu tiên để bứt phá đấy 💡💪</t>
  </si>
  <si>
    <t>=- Tạo tài liệu markdown/PDF lộ trình để theo dõi hàng ngày.</t>
  </si>
  <si>
    <t>=- Thiết kế mini checklist kèm quiz mỗi tuần để luyện.</t>
  </si>
  <si>
    <t>Dưới đây là checklist chi tiết cho từng giai đoạn trong lộ trình học của bạn, Trung. Checklist này được chia thành các nhiệm vụ cụ thể, giúp bạn dễ dàng theo dõi tiến độ và hoàn thành từng mục tiêu một cách hiệu quả.</t>
  </si>
  <si>
    <t>## 🛠 **Giai đoạn 1: Tự xây dựng Web App cá nhân (JS + OOP + UI Logic)**</t>
  </si>
  <si>
    <t>### **Tuần 1: Làm quen với DOM và Event Handling**</t>
  </si>
  <si>
    <t>- [ ] Hiểu và sử dụng `document.querySelector()` để chọn phần tử.</t>
  </si>
  <si>
    <t>- [ ] Thực hành gắn sự kiện với `addEventListener()` (ví dụ: click, input).</t>
  </si>
  <si>
    <t>- [ ] Viết bảng hiển thị danh sách bài viết (dùng HTML + JS).</t>
  </si>
  <si>
    <t>- [ ] Thêm tính năng thêm bài viết mới vào bảng (dùng DOM manipulation).</t>
  </si>
  <si>
    <t>- [ ] Tìm hiểu cách lưu dữ liệu vào `localStorage`.</t>
  </si>
  <si>
    <t>### **Tuần 2: Làm chủ OOP trong JavaScript**</t>
  </si>
  <si>
    <t>- [ ] Tìm hiểu cú pháp `class`, `constructor`, và `this` trong JS.</t>
  </si>
  <si>
    <t>- [ ] Viết class `Post` với các thuộc tính: `title`, `body`, `tags`, `userId`.</t>
  </si>
  <si>
    <t>- [ ] Tạo class `PostManager` để quản lý danh sách bài viết (thêm, sửa, xoá).</t>
  </si>
  <si>
    <t>- [ ] Thực hành kế thừa: Tạo class `VideoPost` kế thừa từ `Post`.</t>
  </si>
  <si>
    <t>### **Tuần 3: Làm việc với API và bất đồng bộ**</t>
  </si>
  <si>
    <t>- [ ] Tìm hiểu `fetch` API và cách sử dụng `.then()` để lấy dữ liệu.</t>
  </si>
  <si>
    <t>- [ ] Viết hàm `getPosts()` để lấy danh sách bài viết từ API (ví dụ: [dummyjson.com](https://dummyjson.com/)).</t>
  </si>
  <si>
    <t>- [ ] Hiển thị bài viết từ API lên bảng HTML.</t>
  </si>
  <si>
    <t>- [ ] Thêm tính năng tìm kiếm bài viết theo từ khoá (dùng `filter()`).</t>
  </si>
  <si>
    <t>- [ ] Tìm hiểu `async/await` và chuyển đổi hàm `getPosts()` sang dùng `async/await`.</t>
  </si>
  <si>
    <t>### **Tuần 4: Hoàn thiện Mini Web App**</t>
  </si>
  <si>
    <t>- [ ] Tạo tính năng phân trang (hiển thị 3 bài/trang).</t>
  </si>
  <si>
    <t>- [ ] Thêm modal form để chỉnh sửa bài viết.</t>
  </si>
  <si>
    <t>- [ ] Thêm xác nhận khi xoá bài viết (dùng `confirm()`).</t>
  </si>
  <si>
    <t>- [ ] Tối ưu giao diện với CSS (responsive + hiệu ứng hover).</t>
  </si>
  <si>
    <t>- [ ] Đánh giá và refactor code: Tách logic và UI thành các hàm riêng biệt.</t>
  </si>
  <si>
    <t>## 🎓 **Giai đoạn 2: Ôn luyện Java Silver (Oracle Certified Java Programmer – OCA)**</t>
  </si>
  <si>
    <t>### **Tuần 1: Biến, kiểu dữ liệu, toán tử**</t>
  </si>
  <si>
    <t>- [ ] Ôn lại các kiểu dữ liệu cơ bản: `int`, `double`, `boolean`, `char`.</t>
  </si>
  <si>
    <t>- [ ] Thực hành ép kiểu ngầm và tường minh (implicit vs explicit casting).</t>
  </si>
  <si>
    <t>- [ ] Làm bài tập về toán tử: `+`, `-`, `*`, `/`, `%`, `++`, `--`.</t>
  </si>
  <si>
    <t>- [ ] Tìm hiểu toán tử logic: `&amp;&amp;`, `||`, `!`.</t>
  </si>
  <si>
    <t>### **Tuần 2: Vòng lặp và điều kiện**</t>
  </si>
  <si>
    <t>- [ ] Ôn lại cú pháp `if-else`, `switch-case`.</t>
  </si>
  <si>
    <t>- [ ] Thực hành vòng lặp `for`, `while`, `do-while`.</t>
  </si>
  <si>
    <t>- [ ] Làm bài tập sử dụng `break` và `continue`.</t>
  </si>
  <si>
    <t>- [ ] Giải các bài tập về vòng lặp lồng nhau (nested loops).</t>
  </si>
  <si>
    <t>### **Tuần 3: Array và Method**</t>
  </si>
  <si>
    <t>- [ ] Ôn lại cách khai báo và sử dụng mảng 1 chiều và 2 chiều.</t>
  </si>
  <si>
    <t>- [ ] Thực hành truyền mảng vào phương thức.</t>
  </si>
  <si>
    <t>- [ ] Tìm hiểu sự khác biệt giữa tham trị và tham chiếu.</t>
  </si>
  <si>
    <t>- [ ] Làm bài tập viết phương thức tính tổng, tìm min/max trong mảng.</t>
  </si>
  <si>
    <t>### **Tuần 4: OOP và Exception Handling**</t>
  </si>
  <si>
    <t>- [ ] Ôn lại cú pháp khai báo class, constructor, và phương thức.</t>
  </si>
  <si>
    <t>- [ ] Thực hành kế thừa (`extends`) và ghi đè phương thức (`@Override`).</t>
  </si>
  <si>
    <t>- [ ] Tìm hiểu sự khác biệt giữa `RuntimeException` và `CheckedException`.</t>
  </si>
  <si>
    <t>- [ ] Viết chương trình xử lý ngoại lệ với `try-catch-finally`.</t>
  </si>
  <si>
    <t>### **Tuần 5: Java API và Wrapper Class**</t>
  </si>
  <si>
    <t>- [ ] Tìm hiểu các lớp wrapper: `Integer`, `Double`, `Boolean`.</t>
  </si>
  <si>
    <t>- [ ] Thực hành chuyển đổi giữa kiểu nguyên thuỷ và wrapper (`autoboxing`).</t>
  </si>
  <si>
    <t>- [ ] Làm bài tập sử dụng các phương thức của lớp `String`.</t>
  </si>
  <si>
    <t>- [ ] Tìm hiểu và thực hành với `ArrayList`.</t>
  </si>
  <si>
    <t>### **Tuần 6: Làm đề thi thử**</t>
  </si>
  <si>
    <t>- [ ] Làm đề thi thử trên [Enthuware](https://enthuware.com/oca).</t>
  </si>
  <si>
    <t>- [ ] Ghi lại các lỗi sai và ôn lại lý thuyết liên quan.</t>
  </si>
  <si>
    <t>- [ ] Thực hành viết code nhanh và chính xác (giới hạn thời gian).</t>
  </si>
  <si>
    <t>- [ ] Đánh giá điểm yếu và tập trung cải thiện.</t>
  </si>
  <si>
    <t>## 📈 **Giai đoạn 3: Chuẩn bị trở thành PM hoặc IT Consultant**</t>
  </si>
  <si>
    <t>### **Tuần 1: Kỹ năng phân tích và thiết kế**</t>
  </si>
  <si>
    <t>- [ ] Tìm hiểu cách viết đặc tả chức năng (requirement specification).</t>
  </si>
  <si>
    <t>- [ ] Thực hành phân tích yêu cầu cho một ứng dụng nhỏ (ví dụ: app quản lý task).</t>
  </si>
  <si>
    <t>- [ ] Vẽ class diagram cho ứng dụng (dùng [draw.io](https://app.diagrams.net/)).</t>
  </si>
  <si>
    <t>- [ ] Vẽ sequence diagram mô tả luồng xử lý chính.</t>
  </si>
  <si>
    <t>### **Tuần 2: Clean Code và Refactor**</t>
  </si>
  <si>
    <t>- [ ] Đọc chương 1–3 của sách *Clean Code* (Robert C. Martin).</t>
  </si>
  <si>
    <t>- [ ] Thực hành đặt tên biến, hàm theo chuẩn clean code.</t>
  </si>
  <si>
    <t>- [ ] Tách các đoạn code dài thành các hàm nhỏ hơn (refactor).</t>
  </si>
  <si>
    <t>- [ ] Thêm comment và tài liệu mô tả code.</t>
  </si>
  <si>
    <t>### **Tuần 3: Lập kế hoạch và quản lý dự án**</t>
  </si>
  <si>
    <t>- [ ] Tìm hiểu Agile/Scrum framework cơ bản.</t>
  </si>
  <si>
    <t>- [ ] Thực hành chia task và đặt deadline cho dự án cá nhân.</t>
  </si>
  <si>
    <t>- [ ] Viết tài liệu mô tả dự án (project documentation).</t>
  </si>
  <si>
    <t>- [ ] Thực hành trình bày dự án (demo + giải thích logic).</t>
  </si>
  <si>
    <t>### **Tuần 4: Ra quyết định kỹ thuật**</t>
  </si>
  <si>
    <t>- [ ] So sánh ưu/nhược điểm của `ArrayList` và `LinkedList`.</t>
  </si>
  <si>
    <t>- [ ] Tìm hiểu các thuật toán tìm kiếm và sắp xếp cơ bản.</t>
  </si>
  <si>
    <t>- [ ] Thực hành chọn thuật toán phù hợp cho bài toán cụ thể.</t>
  </si>
  <si>
    <t>- [ ] Viết báo cáo ngắn gọn giải thích quyết định kỹ thuật.</t>
  </si>
  <si>
    <t>## 🎯 **Lời khuyên cuối cùng**</t>
  </si>
  <si>
    <t>Bạn có muốn mình tạo file PDF hoặc Markdown cho checklist này để dễ theo dõi không? 😊</t>
  </si>
  <si>
    <r>
      <t xml:space="preserve">Dưới đây là </t>
    </r>
    <r>
      <rPr>
        <b/>
        <sz val="10"/>
        <color rgb="FF000000"/>
        <rFont val="Arial"/>
        <family val="2"/>
        <scheme val="minor"/>
      </rPr>
      <t>checklist chi tiết từng bước</t>
    </r>
    <r>
      <rPr>
        <sz val="10"/>
        <color rgb="FF000000"/>
        <rFont val="Arial"/>
        <family val="2"/>
        <scheme val="minor"/>
      </rPr>
      <t xml:space="preserve"> theo các giai đoạn học Java mà bạn đang theo đuổi. Checklist này giúp bạn </t>
    </r>
    <r>
      <rPr>
        <b/>
        <sz val="10"/>
        <color rgb="FF000000"/>
        <rFont val="Arial"/>
        <family val="2"/>
        <scheme val="minor"/>
      </rPr>
      <t>đánh dấu tiến độ học</t>
    </r>
    <r>
      <rPr>
        <sz val="10"/>
        <color rgb="FF000000"/>
        <rFont val="Arial"/>
        <family val="2"/>
        <scheme val="minor"/>
      </rPr>
      <t xml:space="preserve">, </t>
    </r>
    <r>
      <rPr>
        <b/>
        <sz val="10"/>
        <color rgb="FF000000"/>
        <rFont val="Arial"/>
        <family val="2"/>
        <scheme val="minor"/>
      </rPr>
      <t>biết mình đang ở đâu</t>
    </r>
    <r>
      <rPr>
        <sz val="10"/>
        <color rgb="FF000000"/>
        <rFont val="Arial"/>
        <family val="2"/>
        <scheme val="minor"/>
      </rPr>
      <t xml:space="preserve">, và </t>
    </r>
    <r>
      <rPr>
        <b/>
        <sz val="10"/>
        <color rgb="FF000000"/>
        <rFont val="Arial"/>
        <family val="2"/>
        <scheme val="minor"/>
      </rPr>
      <t>tập trung vào các kỹ năng cần thiết</t>
    </r>
    <r>
      <rPr>
        <sz val="10"/>
        <color rgb="FF000000"/>
        <rFont val="Arial"/>
        <family val="2"/>
        <scheme val="minor"/>
      </rPr>
      <t>.</t>
    </r>
  </si>
  <si>
    <t>✅ 📦 GIAI ĐOẠN 1: JAVA CƠ BẢN (2 TUẦN)</t>
  </si>
  <si>
    <t>✅</t>
  </si>
  <si>
    <t>Mục tiêu học</t>
  </si>
  <si>
    <t>Ghi chú</t>
  </si>
  <si>
    <t>☐</t>
  </si>
  <si>
    <t>Cài đặt IntelliJ / Eclipse / Pleiades</t>
  </si>
  <si>
    <t>Biết cách chạy chương trình Java “Hello World”</t>
  </si>
  <si>
    <r>
      <t>Biết khai báo biến (</t>
    </r>
    <r>
      <rPr>
        <sz val="10"/>
        <color rgb="FF000000"/>
        <rFont val="Arial Unicode MS"/>
      </rPr>
      <t>int</t>
    </r>
    <r>
      <rPr>
        <sz val="10"/>
        <color rgb="FF000000"/>
        <rFont val="Arial"/>
        <family val="2"/>
        <scheme val="minor"/>
      </rPr>
      <t xml:space="preserve">, </t>
    </r>
    <r>
      <rPr>
        <sz val="10"/>
        <color rgb="FF000000"/>
        <rFont val="Arial Unicode MS"/>
      </rPr>
      <t>double</t>
    </r>
    <r>
      <rPr>
        <sz val="10"/>
        <color rgb="FF000000"/>
        <rFont val="Arial"/>
        <family val="2"/>
        <scheme val="minor"/>
      </rPr>
      <t xml:space="preserve">, </t>
    </r>
    <r>
      <rPr>
        <sz val="10"/>
        <color rgb="FF000000"/>
        <rFont val="Arial Unicode MS"/>
      </rPr>
      <t>boolean</t>
    </r>
    <r>
      <rPr>
        <sz val="10"/>
        <color rgb="FF000000"/>
        <rFont val="Arial"/>
        <family val="2"/>
        <scheme val="minor"/>
      </rPr>
      <t xml:space="preserve">, </t>
    </r>
    <r>
      <rPr>
        <sz val="10"/>
        <color rgb="FF000000"/>
        <rFont val="Arial Unicode MS"/>
      </rPr>
      <t>String</t>
    </r>
    <r>
      <rPr>
        <sz val="10"/>
        <color rgb="FF000000"/>
        <rFont val="Arial"/>
        <family val="2"/>
        <scheme val="minor"/>
      </rPr>
      <t>)</t>
    </r>
  </si>
  <si>
    <r>
      <t>Sử dụng được các toán tử (</t>
    </r>
    <r>
      <rPr>
        <sz val="10"/>
        <color rgb="FF000000"/>
        <rFont val="Arial Unicode MS"/>
      </rPr>
      <t>+ - * / %</t>
    </r>
    <r>
      <rPr>
        <sz val="10"/>
        <color rgb="FF000000"/>
        <rFont val="Arial"/>
        <family val="2"/>
        <scheme val="minor"/>
      </rPr>
      <t>, so sánh, logic)</t>
    </r>
  </si>
  <si>
    <r>
      <t xml:space="preserve">Dùng </t>
    </r>
    <r>
      <rPr>
        <sz val="10"/>
        <color rgb="FF000000"/>
        <rFont val="Arial Unicode MS"/>
      </rPr>
      <t>if/else</t>
    </r>
    <r>
      <rPr>
        <sz val="10"/>
        <color rgb="FF000000"/>
        <rFont val="Arial"/>
        <family val="2"/>
        <scheme val="minor"/>
      </rPr>
      <t xml:space="preserve">, </t>
    </r>
    <r>
      <rPr>
        <sz val="10"/>
        <color rgb="FF000000"/>
        <rFont val="Arial Unicode MS"/>
      </rPr>
      <t>switch</t>
    </r>
    <r>
      <rPr>
        <sz val="10"/>
        <color rgb="FF000000"/>
        <rFont val="Arial"/>
        <family val="2"/>
        <scheme val="minor"/>
      </rPr>
      <t xml:space="preserve"> để rẽ nhánh chương trình</t>
    </r>
  </si>
  <si>
    <r>
      <t xml:space="preserve">Viết được </t>
    </r>
    <r>
      <rPr>
        <sz val="10"/>
        <color rgb="FF000000"/>
        <rFont val="Arial Unicode MS"/>
      </rPr>
      <t>for</t>
    </r>
    <r>
      <rPr>
        <sz val="10"/>
        <color rgb="FF000000"/>
        <rFont val="Arial"/>
        <family val="2"/>
        <scheme val="minor"/>
      </rPr>
      <t xml:space="preserve">, </t>
    </r>
    <r>
      <rPr>
        <sz val="10"/>
        <color rgb="FF000000"/>
        <rFont val="Arial Unicode MS"/>
      </rPr>
      <t>while</t>
    </r>
    <r>
      <rPr>
        <sz val="10"/>
        <color rgb="FF000000"/>
        <rFont val="Arial"/>
        <family val="2"/>
        <scheme val="minor"/>
      </rPr>
      <t xml:space="preserve">, </t>
    </r>
    <r>
      <rPr>
        <sz val="10"/>
        <color rgb="FF000000"/>
        <rFont val="Arial Unicode MS"/>
      </rPr>
      <t>do while</t>
    </r>
  </si>
  <si>
    <r>
      <t xml:space="preserve">Hiểu và dùng </t>
    </r>
    <r>
      <rPr>
        <sz val="10"/>
        <color rgb="FF000000"/>
        <rFont val="Arial Unicode MS"/>
      </rPr>
      <t>break</t>
    </r>
    <r>
      <rPr>
        <sz val="10"/>
        <color rgb="FF000000"/>
        <rFont val="Arial"/>
        <family val="2"/>
        <scheme val="minor"/>
      </rPr>
      <t xml:space="preserve">, </t>
    </r>
    <r>
      <rPr>
        <sz val="10"/>
        <color rgb="FF000000"/>
        <rFont val="Arial Unicode MS"/>
      </rPr>
      <t>continue</t>
    </r>
  </si>
  <si>
    <t>Viết hàm tính toán đơn giản (BMI, tổng dãy số, ...)</t>
  </si>
  <si>
    <t>Biết truyền tham số vào phương thức và return kết quả</t>
  </si>
  <si>
    <r>
      <t xml:space="preserve">📘 </t>
    </r>
    <r>
      <rPr>
        <b/>
        <sz val="10"/>
        <color rgb="FF000000"/>
        <rFont val="Arial"/>
        <family val="2"/>
        <scheme val="minor"/>
      </rPr>
      <t>Bài tập gợi ý</t>
    </r>
    <r>
      <rPr>
        <sz val="10"/>
        <color rgb="FF000000"/>
        <rFont val="Arial"/>
        <family val="2"/>
        <scheme val="minor"/>
      </rPr>
      <t>:</t>
    </r>
  </si>
  <si>
    <t>Tính giai thừa</t>
  </si>
  <si>
    <t>Kiểm tra số nguyên tố</t>
  </si>
  <si>
    <t>Đếm số nguyên chia hết cho 3 và 5 trong 1 mảng</t>
  </si>
  <si>
    <t>✅ 📦 GIAI ĐOẠN 2: LẬP TRÌNH HƯỚNG ĐỐI TƯỢNG (3 TUẦN)</t>
  </si>
  <si>
    <t>Hiểu class, object là gì trong Java</t>
  </si>
  <si>
    <r>
      <t xml:space="preserve">Tạo class có </t>
    </r>
    <r>
      <rPr>
        <sz val="10"/>
        <color rgb="FF000000"/>
        <rFont val="Arial Unicode MS"/>
      </rPr>
      <t>field</t>
    </r>
    <r>
      <rPr>
        <sz val="10"/>
        <color rgb="FF000000"/>
        <rFont val="Arial"/>
        <family val="2"/>
        <scheme val="minor"/>
      </rPr>
      <t xml:space="preserve">, </t>
    </r>
    <r>
      <rPr>
        <sz val="10"/>
        <color rgb="FF000000"/>
        <rFont val="Arial Unicode MS"/>
      </rPr>
      <t>constructor</t>
    </r>
    <r>
      <rPr>
        <sz val="10"/>
        <color rgb="FF000000"/>
        <rFont val="Arial"/>
        <family val="2"/>
        <scheme val="minor"/>
      </rPr>
      <t xml:space="preserve">, </t>
    </r>
    <r>
      <rPr>
        <sz val="10"/>
        <color rgb="FF000000"/>
        <rFont val="Arial Unicode MS"/>
      </rPr>
      <t>method</t>
    </r>
  </si>
  <si>
    <r>
      <t xml:space="preserve">Dùng </t>
    </r>
    <r>
      <rPr>
        <sz val="10"/>
        <color rgb="FF000000"/>
        <rFont val="Arial Unicode MS"/>
      </rPr>
      <t>this</t>
    </r>
    <r>
      <rPr>
        <sz val="10"/>
        <color rgb="FF000000"/>
        <rFont val="Arial"/>
        <family val="2"/>
        <scheme val="minor"/>
      </rPr>
      <t xml:space="preserve"> để phân biệt biến</t>
    </r>
  </si>
  <si>
    <r>
      <t xml:space="preserve">Biết dùng </t>
    </r>
    <r>
      <rPr>
        <sz val="10"/>
        <color rgb="FF000000"/>
        <rFont val="Arial Unicode MS"/>
      </rPr>
      <t>getter/setter</t>
    </r>
  </si>
  <si>
    <r>
      <t xml:space="preserve">Biết </t>
    </r>
    <r>
      <rPr>
        <sz val="10"/>
        <color rgb="FF000000"/>
        <rFont val="Arial Unicode MS"/>
      </rPr>
      <t>access modifier</t>
    </r>
    <r>
      <rPr>
        <sz val="10"/>
        <color rgb="FF000000"/>
        <rFont val="Arial"/>
        <family val="2"/>
        <scheme val="minor"/>
      </rPr>
      <t xml:space="preserve">: </t>
    </r>
    <r>
      <rPr>
        <sz val="10"/>
        <color rgb="FF000000"/>
        <rFont val="Arial Unicode MS"/>
      </rPr>
      <t>private</t>
    </r>
    <r>
      <rPr>
        <sz val="10"/>
        <color rgb="FF000000"/>
        <rFont val="Arial"/>
        <family val="2"/>
        <scheme val="minor"/>
      </rPr>
      <t xml:space="preserve">, </t>
    </r>
    <r>
      <rPr>
        <sz val="10"/>
        <color rgb="FF000000"/>
        <rFont val="Arial Unicode MS"/>
      </rPr>
      <t>public</t>
    </r>
    <r>
      <rPr>
        <sz val="10"/>
        <color rgb="FF000000"/>
        <rFont val="Arial"/>
        <family val="2"/>
        <scheme val="minor"/>
      </rPr>
      <t xml:space="preserve">, </t>
    </r>
    <r>
      <rPr>
        <sz val="10"/>
        <color rgb="FF000000"/>
        <rFont val="Arial Unicode MS"/>
      </rPr>
      <t>protected</t>
    </r>
  </si>
  <si>
    <r>
      <t xml:space="preserve">Phân biệt </t>
    </r>
    <r>
      <rPr>
        <sz val="10"/>
        <color rgb="FF000000"/>
        <rFont val="Arial Unicode MS"/>
      </rPr>
      <t>static</t>
    </r>
    <r>
      <rPr>
        <sz val="10"/>
        <color rgb="FF000000"/>
        <rFont val="Arial"/>
        <family val="2"/>
        <scheme val="minor"/>
      </rPr>
      <t xml:space="preserve"> vs instance</t>
    </r>
  </si>
  <si>
    <t>Biết tạo UML class diagram đơn giản</t>
  </si>
  <si>
    <r>
      <t>Áp dụng kế thừa (</t>
    </r>
    <r>
      <rPr>
        <sz val="10"/>
        <color rgb="FF000000"/>
        <rFont val="Arial Unicode MS"/>
      </rPr>
      <t>extends</t>
    </r>
    <r>
      <rPr>
        <sz val="10"/>
        <color rgb="FF000000"/>
        <rFont val="Arial"/>
        <family val="2"/>
        <scheme val="minor"/>
      </rPr>
      <t>)</t>
    </r>
  </si>
  <si>
    <r>
      <t>Ghi đè phương thức (</t>
    </r>
    <r>
      <rPr>
        <sz val="10"/>
        <color rgb="FF000000"/>
        <rFont val="Arial Unicode MS"/>
      </rPr>
      <t>@Override</t>
    </r>
    <r>
      <rPr>
        <sz val="10"/>
        <color rgb="FF000000"/>
        <rFont val="Arial"/>
        <family val="2"/>
        <scheme val="minor"/>
      </rPr>
      <t>)</t>
    </r>
  </si>
  <si>
    <r>
      <t xml:space="preserve">Dùng từ khóa </t>
    </r>
    <r>
      <rPr>
        <sz val="10"/>
        <color rgb="FF000000"/>
        <rFont val="Arial Unicode MS"/>
      </rPr>
      <t>super</t>
    </r>
    <r>
      <rPr>
        <sz val="10"/>
        <color rgb="FF000000"/>
        <rFont val="Arial"/>
        <family val="2"/>
        <scheme val="minor"/>
      </rPr>
      <t xml:space="preserve"> gọi constructor hoặc method cha</t>
    </r>
  </si>
  <si>
    <r>
      <t>Tạo class trừu tượng (</t>
    </r>
    <r>
      <rPr>
        <sz val="10"/>
        <color rgb="FF000000"/>
        <rFont val="Arial Unicode MS"/>
      </rPr>
      <t>abstract</t>
    </r>
    <r>
      <rPr>
        <sz val="10"/>
        <color rgb="FF000000"/>
        <rFont val="Arial"/>
        <family val="2"/>
        <scheme val="minor"/>
      </rPr>
      <t>) và triển khai</t>
    </r>
  </si>
  <si>
    <r>
      <t xml:space="preserve">Dùng </t>
    </r>
    <r>
      <rPr>
        <sz val="10"/>
        <color rgb="FF000000"/>
        <rFont val="Arial Unicode MS"/>
      </rPr>
      <t>interface</t>
    </r>
    <r>
      <rPr>
        <sz val="10"/>
        <color rgb="FF000000"/>
        <rFont val="Arial"/>
        <family val="2"/>
        <scheme val="minor"/>
      </rPr>
      <t xml:space="preserve"> để mô tả hành vi</t>
    </r>
  </si>
  <si>
    <t>Hiểu khái niệm đa hình (polymorphism)</t>
  </si>
  <si>
    <t>Quản lý Sinh viên / Học sinh (CRUD bằng object)</t>
  </si>
  <si>
    <t>Xây dựng mô hình động vật kế thừa (Dog, Cat)</t>
  </si>
  <si>
    <t>Mô phỏng hệ thống nhân sự (Staff, Manager kế thừa Employee)</t>
  </si>
  <si>
    <t>✅ 📦 GIAI ĐOẠN 3: CLEAN CODE, EXCEPTION, FILE IO (2 TUẦN)</t>
  </si>
  <si>
    <t>Áp dụng đặt tên biến, method đúng chuẩn</t>
  </si>
  <si>
    <t>Tách hàm, module rõ ràng, không trùng lặp</t>
  </si>
  <si>
    <r>
      <t xml:space="preserve">Dùng </t>
    </r>
    <r>
      <rPr>
        <sz val="10"/>
        <color rgb="FF000000"/>
        <rFont val="Arial Unicode MS"/>
      </rPr>
      <t>try-catch</t>
    </r>
    <r>
      <rPr>
        <sz val="10"/>
        <color rgb="FF000000"/>
        <rFont val="Arial"/>
        <family val="2"/>
        <scheme val="minor"/>
      </rPr>
      <t xml:space="preserve"> để xử lý lỗi</t>
    </r>
  </si>
  <si>
    <r>
      <t xml:space="preserve">Phân biệt </t>
    </r>
    <r>
      <rPr>
        <sz val="10"/>
        <color rgb="FF000000"/>
        <rFont val="Arial Unicode MS"/>
      </rPr>
      <t>checked</t>
    </r>
    <r>
      <rPr>
        <sz val="10"/>
        <color rgb="FF000000"/>
        <rFont val="Arial"/>
        <family val="2"/>
        <scheme val="minor"/>
      </rPr>
      <t xml:space="preserve"> và </t>
    </r>
    <r>
      <rPr>
        <sz val="10"/>
        <color rgb="FF000000"/>
        <rFont val="Arial Unicode MS"/>
      </rPr>
      <t>unchecked</t>
    </r>
    <r>
      <rPr>
        <sz val="10"/>
        <color rgb="FF000000"/>
        <rFont val="Arial"/>
        <family val="2"/>
        <scheme val="minor"/>
      </rPr>
      <t xml:space="preserve"> exception</t>
    </r>
  </si>
  <si>
    <r>
      <t xml:space="preserve">Viết </t>
    </r>
    <r>
      <rPr>
        <sz val="10"/>
        <color rgb="FF000000"/>
        <rFont val="Arial Unicode MS"/>
      </rPr>
      <t>throws</t>
    </r>
    <r>
      <rPr>
        <sz val="10"/>
        <color rgb="FF000000"/>
        <rFont val="Arial"/>
        <family val="2"/>
        <scheme val="minor"/>
      </rPr>
      <t xml:space="preserve">, </t>
    </r>
    <r>
      <rPr>
        <sz val="10"/>
        <color rgb="FF000000"/>
        <rFont val="Arial Unicode MS"/>
      </rPr>
      <t>throw</t>
    </r>
    <r>
      <rPr>
        <sz val="10"/>
        <color rgb="FF000000"/>
        <rFont val="Arial"/>
        <family val="2"/>
        <scheme val="minor"/>
      </rPr>
      <t xml:space="preserve"> custom exception</t>
    </r>
  </si>
  <si>
    <r>
      <t xml:space="preserve">Dùng </t>
    </r>
    <r>
      <rPr>
        <sz val="10"/>
        <color rgb="FF000000"/>
        <rFont val="Arial Unicode MS"/>
      </rPr>
      <t>Scanner</t>
    </r>
    <r>
      <rPr>
        <sz val="10"/>
        <color rgb="FF000000"/>
        <rFont val="Arial"/>
        <family val="2"/>
        <scheme val="minor"/>
      </rPr>
      <t xml:space="preserve">, </t>
    </r>
    <r>
      <rPr>
        <sz val="10"/>
        <color rgb="FF000000"/>
        <rFont val="Arial Unicode MS"/>
      </rPr>
      <t>FileReader</t>
    </r>
    <r>
      <rPr>
        <sz val="10"/>
        <color rgb="FF000000"/>
        <rFont val="Arial"/>
        <family val="2"/>
        <scheme val="minor"/>
      </rPr>
      <t xml:space="preserve">, </t>
    </r>
    <r>
      <rPr>
        <sz val="10"/>
        <color rgb="FF000000"/>
        <rFont val="Arial Unicode MS"/>
      </rPr>
      <t>BufferedReader</t>
    </r>
    <r>
      <rPr>
        <sz val="10"/>
        <color rgb="FF000000"/>
        <rFont val="Arial"/>
        <family val="2"/>
        <scheme val="minor"/>
      </rPr>
      <t xml:space="preserve"> để đọc file</t>
    </r>
  </si>
  <si>
    <r>
      <t xml:space="preserve">Dùng </t>
    </r>
    <r>
      <rPr>
        <sz val="10"/>
        <color rgb="FF000000"/>
        <rFont val="Arial Unicode MS"/>
      </rPr>
      <t>FileWriter</t>
    </r>
    <r>
      <rPr>
        <sz val="10"/>
        <color rgb="FF000000"/>
        <rFont val="Arial"/>
        <family val="2"/>
        <scheme val="minor"/>
      </rPr>
      <t xml:space="preserve">, </t>
    </r>
    <r>
      <rPr>
        <sz val="10"/>
        <color rgb="FF000000"/>
        <rFont val="Arial Unicode MS"/>
      </rPr>
      <t>BufferedWriter</t>
    </r>
    <r>
      <rPr>
        <sz val="10"/>
        <color rgb="FF000000"/>
        <rFont val="Arial"/>
        <family val="2"/>
        <scheme val="minor"/>
      </rPr>
      <t xml:space="preserve"> để ghi file</t>
    </r>
  </si>
  <si>
    <r>
      <t xml:space="preserve">Tạo chương trình CRUD lưu dữ liệu vào file </t>
    </r>
    <r>
      <rPr>
        <sz val="10"/>
        <color rgb="FF000000"/>
        <rFont val="Arial Unicode MS"/>
      </rPr>
      <t>.txt</t>
    </r>
  </si>
  <si>
    <t>Biết cách debug trong IDE (breakpoint, step in/out)</t>
  </si>
  <si>
    <t>CRUD danh sách sản phẩm lưu vào file</t>
  </si>
  <si>
    <t>Bài tập chấm công nhân viên, lưu log vào file</t>
  </si>
  <si>
    <t>Xử lý ngoại lệ khi nhập sai dữ liệu</t>
  </si>
  <si>
    <t>✅ 📦 GIAI ĐOẠN 4: CẤU TRÚC DỮ LIỆU &amp; THUẬT TOÁN (2–3 TUẦN)</t>
  </si>
  <si>
    <t>Phân biệt Array, ArrayList, LinkedList</t>
  </si>
  <si>
    <t>Biết khi nào dùng ArrayList thay vì mảng thường</t>
  </si>
  <si>
    <t>Biết thêm/xóa/sửa/tìm kiếm trong ArrayList</t>
  </si>
  <si>
    <t>Hiểu cơ bản về Stack, Queue (LIFO/FIFO)</t>
  </si>
  <si>
    <t>Áp dụng Stack xử lý biểu thức toán học</t>
  </si>
  <si>
    <t>Hiểu Map (HashMap) lưu dữ liệu key-value</t>
  </si>
  <si>
    <t>Hiểu TreeMap để sắp xếp theo key</t>
  </si>
  <si>
    <t>Hiểu cách hoạt động của thuật toán tìm kiếm tuyến tính</t>
  </si>
  <si>
    <t>Hiểu thuật toán tìm kiếm nhị phân và điều kiện áp dụng</t>
  </si>
  <si>
    <t>Viết được các thuật toán sắp xếp: bubble, selection, insertion</t>
  </si>
  <si>
    <t>Biết tính độ phức tạp thuật toán (Big-O cơ bản)</t>
  </si>
  <si>
    <r>
      <t xml:space="preserve">Quản lý học sinh với </t>
    </r>
    <r>
      <rPr>
        <sz val="10"/>
        <color rgb="FF000000"/>
        <rFont val="Arial Unicode MS"/>
      </rPr>
      <t>ArrayList</t>
    </r>
  </si>
  <si>
    <r>
      <t xml:space="preserve">Lập bảng điểm theo </t>
    </r>
    <r>
      <rPr>
        <sz val="10"/>
        <color rgb="FF000000"/>
        <rFont val="Arial Unicode MS"/>
      </rPr>
      <t>HashMap</t>
    </r>
  </si>
  <si>
    <r>
      <t xml:space="preserve">Viết danh sách đợi bệnh nhân bằng </t>
    </r>
    <r>
      <rPr>
        <sz val="10"/>
        <color rgb="FF000000"/>
        <rFont val="Arial Unicode MS"/>
      </rPr>
      <t>Queue</t>
    </r>
  </si>
  <si>
    <r>
      <t xml:space="preserve">Tính toán biểu thức bằng </t>
    </r>
    <r>
      <rPr>
        <sz val="10"/>
        <color rgb="FF000000"/>
        <rFont val="Arial Unicode MS"/>
      </rPr>
      <t>Stack</t>
    </r>
  </si>
  <si>
    <t>Tìm kiếm/sắp xếp danh sách sách</t>
  </si>
  <si>
    <t>✅ 📦 GIAI ĐOẠN 5: TÍCH HỢP WEB APP / CHUẨN BỊ LÊN SPRING (2–3 TUẦN)</t>
  </si>
  <si>
    <t>Ứng dụng class Java vào Servlet project</t>
  </si>
  <si>
    <r>
      <t xml:space="preserve">Biết tạo class </t>
    </r>
    <r>
      <rPr>
        <sz val="10"/>
        <color rgb="FF000000"/>
        <rFont val="Arial Unicode MS"/>
      </rPr>
      <t>User</t>
    </r>
    <r>
      <rPr>
        <sz val="10"/>
        <color rgb="FF000000"/>
        <rFont val="Arial"/>
        <family val="2"/>
        <scheme val="minor"/>
      </rPr>
      <t xml:space="preserve">, </t>
    </r>
    <r>
      <rPr>
        <sz val="10"/>
        <color rgb="FF000000"/>
        <rFont val="Arial Unicode MS"/>
      </rPr>
      <t>Product</t>
    </r>
    <r>
      <rPr>
        <sz val="10"/>
        <color rgb="FF000000"/>
        <rFont val="Arial"/>
        <family val="2"/>
        <scheme val="minor"/>
      </rPr>
      <t xml:space="preserve">, </t>
    </r>
    <r>
      <rPr>
        <sz val="10"/>
        <color rgb="FF000000"/>
        <rFont val="Arial Unicode MS"/>
      </rPr>
      <t>Order</t>
    </r>
    <r>
      <rPr>
        <sz val="10"/>
        <color rgb="FF000000"/>
        <rFont val="Arial"/>
        <family val="2"/>
        <scheme val="minor"/>
      </rPr>
      <t xml:space="preserve">, </t>
    </r>
    <r>
      <rPr>
        <sz val="10"/>
        <color rgb="FF000000"/>
        <rFont val="Arial Unicode MS"/>
      </rPr>
      <t>Todo</t>
    </r>
    <r>
      <rPr>
        <sz val="10"/>
        <color rgb="FF000000"/>
        <rFont val="Arial"/>
        <family val="2"/>
        <scheme val="minor"/>
      </rPr>
      <t>, ...</t>
    </r>
  </si>
  <si>
    <t>Tổ chức theo mô hình MVC (Model, View, Controller)</t>
  </si>
  <si>
    <t>JavaScript gọi API từ Servlet để lấy dữ liệu</t>
  </si>
  <si>
    <r>
      <t xml:space="preserve">Sử dụng </t>
    </r>
    <r>
      <rPr>
        <sz val="10"/>
        <color rgb="FF000000"/>
        <rFont val="Arial Unicode MS"/>
      </rPr>
      <t>ArrayList</t>
    </r>
    <r>
      <rPr>
        <sz val="10"/>
        <color rgb="FF000000"/>
        <rFont val="Arial"/>
        <family val="2"/>
        <scheme val="minor"/>
      </rPr>
      <t xml:space="preserve"> hoặc </t>
    </r>
    <r>
      <rPr>
        <sz val="10"/>
        <color rgb="FF000000"/>
        <rFont val="Arial Unicode MS"/>
      </rPr>
      <t>Map</t>
    </r>
    <r>
      <rPr>
        <sz val="10"/>
        <color rgb="FF000000"/>
        <rFont val="Arial"/>
        <family val="2"/>
        <scheme val="minor"/>
      </rPr>
      <t xml:space="preserve"> làm "giả database"</t>
    </r>
  </si>
  <si>
    <t>Tập lưu file JSON hoặc TXT thay cho DB</t>
  </si>
  <si>
    <t>Viết mini app đăng ký người dùng, Todo list, v.v.</t>
  </si>
  <si>
    <t>Hiểu Servlet, RequestMapping, Response, HTML Form</t>
  </si>
  <si>
    <t>Bắt đầu làm quen Spring Boot (nếu muốn mở rộng)</t>
  </si>
  <si>
    <r>
      <t xml:space="preserve">📘 </t>
    </r>
    <r>
      <rPr>
        <b/>
        <sz val="10"/>
        <color rgb="FF000000"/>
        <rFont val="Arial"/>
        <family val="2"/>
        <scheme val="minor"/>
      </rPr>
      <t>Project mẫu đề xuất</t>
    </r>
    <r>
      <rPr>
        <sz val="10"/>
        <color rgb="FF000000"/>
        <rFont val="Arial"/>
        <family val="2"/>
        <scheme val="minor"/>
      </rPr>
      <t>:</t>
    </r>
  </si>
  <si>
    <t>App Quản lý công việc Todo (CRUD, lưu vào file)</t>
  </si>
  <si>
    <t>App Đăng nhập người dùng (Servlet xử lý login)</t>
  </si>
  <si>
    <t>App Danh sách sản phẩm + giỏ hàng</t>
  </si>
  <si>
    <t>📍 GỢI Ý CÁCH HỌC THEO CHECKLIST</t>
  </si>
  <si>
    <t>Thói quen</t>
  </si>
  <si>
    <t>✅ Ghi chú mỗi ngày học gì</t>
  </si>
  <si>
    <t>Dùng Google Docs hoặc Notion</t>
  </si>
  <si>
    <t>✅ Code tay thay vì copy</t>
  </si>
  <si>
    <t>Giúp nhớ lâu và hiểu sâu</t>
  </si>
  <si>
    <t>✅ Tạo project nhỏ cuối mỗi giai đoạn</t>
  </si>
  <si>
    <t>Tổng hợp kiến thức đã học</t>
  </si>
  <si>
    <t>✅ Check lại checklist mỗi tuần</t>
  </si>
  <si>
    <t>Đánh giá tiến độ học</t>
  </si>
  <si>
    <t>Bạn muốn mình tạo bản checklist này thành file Google Sheet hoặc PDF để bạn theo dõi hàng ngày không? Mình có thể gửi bản sẵn sàng dùng ngay.</t>
  </si>
  <si>
    <t>- Document Module 2: https://docs.google.com/document/d/14xtEFE3Ml80Y2iYX2K3o0O6PHD3XUSzd649GRHrbfIE/edit
- Download IDE: https://www.jetbrains.com/idea/download/?section=windows
- Cách hoạt động của trình biên dịch Java.
- Cú pháp khai báo biến trong Java.
- Các kiểu dữ liệu và toán tử trong Java.
- Nhập xuất dữ liệu trong Java.
- Cách khai báo và sử dụng của cấu trúc điều kiện.
- Video tham khảo: https://youtu.be/_tcNvphNWQo?si=lXODp_mBrOxqGiR9</t>
  </si>
  <si>
    <r>
      <rPr>
        <sz val="10"/>
        <rFont val="Arial"/>
        <scheme val="minor"/>
      </rPr>
      <t xml:space="preserve">- Đọc thêm bài đọc trên James: </t>
    </r>
    <r>
      <rPr>
        <sz val="10"/>
        <color rgb="FF1155CC"/>
        <rFont val="Arial"/>
        <scheme val="minor"/>
      </rPr>
      <t>https://james.codegym.vn/course/view.php?id=541&amp;section=1</t>
    </r>
    <r>
      <rPr>
        <sz val="10"/>
        <rFont val="Arial"/>
        <scheme val="minor"/>
      </rPr>
      <t xml:space="preserve">
- Đọc hiểu và thử lại các bài thực hành.
</t>
    </r>
  </si>
  <si>
    <r>
      <rPr>
        <sz val="10"/>
        <rFont val="Arial"/>
        <scheme val="minor"/>
      </rPr>
      <t xml:space="preserve">- Hoàn thành các bài thực hành và bài tập có *
</t>
    </r>
    <r>
      <rPr>
        <sz val="10"/>
        <color rgb="FF1155CC"/>
        <rFont val="Arial"/>
        <scheme val="minor"/>
      </rPr>
      <t>https://james.codegym.vn/course/view.php?id=541&amp;section=3</t>
    </r>
  </si>
  <si>
    <r>
      <rPr>
        <sz val="10"/>
        <rFont val="Arial"/>
        <scheme val="minor"/>
      </rPr>
      <t xml:space="preserve">- Tổng hợp kiến thức vào MindMap.
- Đọc hiểu và chạy lại các bài thực hành trên James.
- Hoàn thành quizz trên James.
- Hoàn thành các bài tập trên James (Không có *)
</t>
    </r>
    <r>
      <rPr>
        <sz val="10"/>
        <color rgb="FF1155CC"/>
        <rFont val="Arial"/>
        <scheme val="minor"/>
      </rPr>
      <t>https://james.codegym.vn/course/view.php?id=541&amp;section=3</t>
    </r>
  </si>
  <si>
    <t xml:space="preserve">- Đưa kiến thức đã học vào MindMap
- Xem các bài đọc và bài giảng.
- Thực hành và làm các quizzz.
Yêu cầu vẽ UML mọi bài OOP
Link vẽ: https://app.diagrams.net/
1. Hoàn thành bài tập: Viết một lớp các đối tượng hình chữ nhật lấy tên là Rectangle, mỗi hình chữ nhật đều có những đặc tính sau:
+ Có thông số chiều dài (int).
+ Có thông số chiều rộng (int).
+ Có tính năng tính diện tích.
+ Có tính năng tính chu vi.
=&gt; Tạo một đối tượng HCN
+  Hiển thị thông tin hình chữ nhật.
+  Thay đổi chiều dài và chiều rộng của hình chữ nhật
+  In ra màn hình diện tích và chu vi của hình chữ nhật đó.
2. Hoàn thành bài tập trên James.
3. Bài tập Sinh Viên: Viết một lớp Student để quản lý thông tin sinh viên gồm các thuộc tính như tên, tuổi, một mảng điểm số. Tạo các phương thức cho phép thay đổi thông tin sinh viên, hiển thị thông tin sinh viên và tính trung bình điểm của sinh viên.
=&gt; Tạo ra 2 đối tượng student và hiển thị sinh viên có điểm trung bình cao hơn.
</t>
  </si>
  <si>
    <r>
      <rPr>
        <sz val="10"/>
        <rFont val="Arial"/>
        <scheme val="minor"/>
      </rPr>
      <t xml:space="preserve">Thêm kiến thức đã học vào MindMap.
Đọc hiểu các bài đọc, thử lại thực hành và làm quizz.
Hoàn thành bài thực hành trên James: </t>
    </r>
    <r>
      <rPr>
        <sz val="10"/>
        <color rgb="FF1155CC"/>
        <rFont val="Arial"/>
        <scheme val="minor"/>
      </rPr>
      <t>https://james.codegym.vn/course/view.php?id=541&amp;section=6</t>
    </r>
  </si>
  <si>
    <t>Ôn tập và dựa trên Xmind trả lời các câu hỏi phỏng vấn: https://james.codegym.vn/mod/folder/view.php?id=9075
Ôn tập về OOP (Lớp, đối tượng,..)
- Các tính chất OOP.
+ Khái niệm.
+ Các cách triển khai trong code và tính chất của chúng.
(Ví du: Tính đóng gói là ...Thể hiện thông qua Access Modifier (private, default, protected, public) Phân biệt...)
+ Các từ khóa liên quan: static, super, this,...</t>
  </si>
  <si>
    <r>
      <rPr>
        <sz val="10"/>
        <rFont val="Arial"/>
        <scheme val="minor"/>
      </rPr>
      <t xml:space="preserve">Thêm kiến thức đã học vào MindMap.
Đọc hiểu các bài đọc, thử lại thực hành và làm quizz.
Hoàn thành bài thực hành trên James: </t>
    </r>
    <r>
      <rPr>
        <sz val="10"/>
        <color rgb="FF1155CC"/>
        <rFont val="Arial"/>
        <scheme val="minor"/>
      </rPr>
      <t>https://james.codegym.vn/course/view.php?id=541&amp;section=7</t>
    </r>
  </si>
  <si>
    <r>
      <rPr>
        <sz val="10"/>
        <rFont val="Arial"/>
        <scheme val="minor"/>
      </rPr>
      <t xml:space="preserve">
Tạo menu cho các chức năng của bài trước theo mẫu như sau: 
</t>
    </r>
    <r>
      <rPr>
        <sz val="10"/>
        <color rgb="FF1155CC"/>
        <rFont val="Arial"/>
        <scheme val="minor"/>
      </rPr>
      <t xml:space="preserve">https://drive.google.com/file/d/1eQ1qtAnK7QnuLlw7XxNCkSUZPTK9saa0/view?usp=sharing
</t>
    </r>
    <r>
      <rPr>
        <sz val="10"/>
        <rFont val="Arial"/>
        <scheme val="minor"/>
      </rPr>
      <t xml:space="preserve">
Ôn tập lại kiến thức đã học và làm câu hỏi phỏng vấn.
</t>
    </r>
  </si>
  <si>
    <t>- Hoàn thành bài tập trên James: https://james.codegym.vn/course/view.php?id=541&amp;section=10
- Làm bài quản lý:
Một thư viện cần quản lý các tài liệu bao gồm Sách, Tạp chí, Báo. Mỗi tài liệu gồm có các thuộc tính sau: Mã tài liệu(Mã tài liệu là duy nhất), Tên nhà xuất bản, số bản phát hành.
Các loại sách cần quản lý thêm các thuộc tính: tên tác giả, số trang.
Các tạp chí cần quản lý thêm: Số phát hành, tháng phát hành.
Các báo cần quản lý thêm: Ngày phát hành.
Yêu cầu 1: Xây dựng các lớp để quản lý tài liệu cho thư viện một cách hiệu quả.
Yêu cầu 2: Xây dựng lớp QuanLySach có các chức năng sau
        Thêm mới tài liêu: Sách, tạp chí, báo.
        Xoá tài liệu theo mã tài liệu.
        Hiện thị thông tin về tài liệu.
        Tìm kiếm tài liệu theo loại: Sách, tạp chí, báo. (Nâng cao)
        Thoát khỏi chương trình.
Yêu cầu 3: Xây dựng menu:
        Thêm mới: Sách, tạp chí hoặc báo (Nhập vào từ bàn phím)
        Xoá theo mã
        Hiển thị tất cả thông tin
        Hiển thị tất cả Sách
        Hiển thị tất cả Tạp chí
        Hiển thị tất cả Báo</t>
  </si>
  <si>
    <t xml:space="preserve">- Dựa vào bài tạo menu hôm qua hoàn thành menu theo mẫu sau: 
https://drive.google.com/file/d/1eQ1qtAnK7QnuLlw7XxNCkSUZPTK9saa0/view?usp=sharing
- Đọc thêm bài đọc và thực hành trên James để hiểu hơn về cấu trúc dữ liệu Stack And Queue. (Bài tập không bắt buộc *)
</t>
  </si>
  <si>
    <r>
      <rPr>
        <sz val="10"/>
        <rFont val="Arial"/>
        <scheme val="minor"/>
      </rPr>
      <t xml:space="preserve">Hoàn thành các bài tập trên: Học thuật toán
Làm các bài tập optional James: </t>
    </r>
    <r>
      <rPr>
        <sz val="10"/>
        <color rgb="FF1155CC"/>
        <rFont val="Arial"/>
        <scheme val="minor"/>
      </rPr>
      <t>https://james.codegym.vn/course/view.php?id=541&amp;section=13</t>
    </r>
  </si>
  <si>
    <r>
      <rPr>
        <sz val="10"/>
        <color rgb="FF000000"/>
        <rFont val="Arial"/>
        <scheme val="minor"/>
      </rPr>
      <t xml:space="preserve">- Đọc bài đọc, thử lại thực hành trên James: </t>
    </r>
    <r>
      <rPr>
        <sz val="10"/>
        <color rgb="FF1155CC"/>
        <rFont val="Arial"/>
        <scheme val="minor"/>
      </rPr>
      <t>https://james.codegym.vn/course/view.php?id=541&amp;section=13</t>
    </r>
    <r>
      <rPr>
        <sz val="10"/>
        <color rgb="FF000000"/>
        <rFont val="Arial"/>
        <scheme val="minor"/>
      </rPr>
      <t xml:space="preserve">
 - Làm các bài thuật toán trên: Học thuật toán</t>
    </r>
  </si>
  <si>
    <r>
      <rPr>
        <sz val="10"/>
        <rFont val="Arial"/>
        <scheme val="minor"/>
      </rPr>
      <t xml:space="preserve">Hoàn thành các bài tập trên: Học thuật toán
Làm các bài tập James: </t>
    </r>
    <r>
      <rPr>
        <sz val="10"/>
        <color rgb="FF1155CC"/>
        <rFont val="Arial"/>
        <scheme val="minor"/>
      </rPr>
      <t>https://james.codegym.vn/course/view.php?id=541&amp;section=14</t>
    </r>
  </si>
  <si>
    <r>
      <rPr>
        <sz val="10"/>
        <rFont val="Arial"/>
        <scheme val="minor"/>
      </rPr>
      <t xml:space="preserve">- Đọc bài đọc, thử lại thực hành trên James: </t>
    </r>
    <r>
      <rPr>
        <sz val="10"/>
        <color rgb="FF1155CC"/>
        <rFont val="Arial"/>
        <scheme val="minor"/>
      </rPr>
      <t>https://james.codegym.vn/course/view.php?id=541&amp;section=14</t>
    </r>
    <r>
      <rPr>
        <sz val="10"/>
        <rFont val="Arial"/>
        <scheme val="minor"/>
      </rPr>
      <t xml:space="preserve">
- Làm các bài thuật toán trên: Học thuật toán</t>
    </r>
  </si>
  <si>
    <r>
      <rPr>
        <sz val="10"/>
        <rFont val="Arial"/>
        <scheme val="minor"/>
      </rPr>
      <t xml:space="preserve">- Đọc bài đọc, thử lại thực hành, làm quizz trên James: </t>
    </r>
    <r>
      <rPr>
        <sz val="10"/>
        <color rgb="FF1155CC"/>
        <rFont val="Arial"/>
        <scheme val="minor"/>
      </rPr>
      <t>https://james.codegym.vn/course/view.php?id=541&amp;section=15</t>
    </r>
    <r>
      <rPr>
        <sz val="10"/>
        <rFont val="Arial"/>
        <scheme val="minor"/>
      </rPr>
      <t xml:space="preserve">
</t>
    </r>
  </si>
  <si>
    <r>
      <rPr>
        <sz val="10"/>
        <rFont val="Arial"/>
        <scheme val="minor"/>
      </rPr>
      <t xml:space="preserve">- Tổng hợp kiến thức vào MindMap.
- Đọc hiểu và chạy lại các bài thực hành trên James.
- Hoàn thành quizz trên James.
</t>
    </r>
    <r>
      <rPr>
        <sz val="10"/>
        <color rgb="FF1155CC"/>
        <rFont val="Arial"/>
        <scheme val="minor"/>
      </rPr>
      <t xml:space="preserve">https://james.codegym.vn/course/view.php?id=541&amp;section=19 
</t>
    </r>
    <r>
      <rPr>
        <sz val="10"/>
        <rFont val="Arial"/>
        <scheme val="minor"/>
      </rPr>
      <t>- Ghép Validate dữ liệu vào bài quản lý bất kỳ.</t>
    </r>
  </si>
  <si>
    <t xml:space="preserve"> 
Danh sách bài tập:
Hoàn thành kiến thức vào XMIND
Nhập xuất:
1. In ra Hello World
2. In ra Hello world, Hi Ae
3. Nhập vào tên bạn, ví dụ NA =&gt; in ra ""Hello C06""
Kiểu dữ liệu:
1. Khai báo 1 biến kiểu int, in ra số đó.
2. Nhập 1 biến kiểu int, in ra số đó.
3. Nhập vào 2 biến kiểu int, in ra tổng, tích, hiệu, thương, số dư của 2 số đó.
4. Nhập vào tên, tuổi. In ra: ""Xin chào ..., tôi năm nay ..."""
'
Toán tử:
Nhập vào 2 số:
1. Sử dụng: +, -, *, /, %
2. Sử dụng =, +=, -=, *=, /=
3. Sử dụng ++, --
4. Sử dụng &lt;, &gt;, &lt;=, &gt;=, ==, !=
Điều Kiện:
Bài 1: Nhập vào hai số a và b, và kiểm tra xem a có chia hết cho b hay không.
Bài 2: Nhập tuổi và in ra kết quả nếu tuổi học sinh đó không đủ điều kiện vào học lớp 10.
Bài 3: Nhập một số nguyên bất kỳ và in kết quả ra màn hình để nói cho người dùng biết số đó là lớn hay nhỏ hơn 0
Bài 4: Nhập 3 số nguyên và tìm giá trị lớn nhất của ba số nguyên đó
Bài 5: Xếp hạng học lực của học sinh dựa trên các điểm bài kiểm tra, điểm thi giữa kỳ, điểm thi cuối kỳ
Bài 6: Tính hoa hồng nhận được tuỳ theo mức doanh số bán hàng
Bài 7: Tính cước điện thoại cho một hộ gia đình với các thông số đã cho
Bài 1: Chuyển từ độ C sang độ F. °C  x  9/5 + 32 = °F
Bài 2: Chuyển từ mét sang feet: ft =m * 3.2808
Bài 3: Tính diện tích hình vuông khi biết cạnh a.
Bài 4: Tính diện tích hình  chữ nhật khi biết 02 cạnh a, b.
Bài 5: Tính diện tích tam giác vuông khi biết 02 cạnh kề a, b.
Bài 6: Giải phương trình bậc 1.
Bài 7: Giải phương trình bậc 2.
Bài 8: Kiểm tra xem một số nhập vào có phải là tuổi của một người không. Một số nguyên là tuổi của một người khi nhỏ 120 và lơn hơn 0.
Bài 9: Kiểm tra xem 3 số thực (a,b,c) nhập vào có phải là cạnh của một tam giác. Điều kiện để a,b,c là cạnh của một tam giác là:
a,b,c &gt; 0
a + b &gt; c
b + c &gt; a
a + c &gt; b
Bài 10: Viết chương trình tính giá điện.
Bài 11: Viết chương trình tính thuế thu nhập cá nhân.
- Hoàn thành quizzz và các bài thực hành trên James: https://james.codegym.vn/course/view.php?id=541&amp;section=1
</t>
  </si>
  <si>
    <r>
      <t xml:space="preserve">- Đọc hiểu và chạy lại các bài thực hành trên James.
- Hoàn thành bài tập và quizz trên james.
</t>
    </r>
    <r>
      <rPr>
        <sz val="10"/>
        <color rgb="FF1C4587"/>
        <rFont val="Arial"/>
        <scheme val="minor"/>
      </rPr>
      <t>https://james.codegym.vn/course/view.php?id=541&amp;section=2</t>
    </r>
  </si>
  <si>
    <t>ok</t>
  </si>
  <si>
    <t>Dưới đây là danh sách các API Java cơ bản thường xuyên được sử dụng nhất — chúng cực kỳ tiện lợi trong các ứng dụng hàng ngày, từ lập trình hệ thống cho đến phát triển web. Java có một thư viện phong phú, nên “toàn bộ” là một khái niệm hơi mênh mông — nhưng mình sẽ tổng hợp những cái phổ biến và thiết yếu nhất nhé 🛠️</t>
  </si>
  <si>
    <t>## 📦 Java Standard API thường dùng</t>
  </si>
  <si>
    <t xml:space="preserve">### 1. **`java.lang`** – Gói cốt lõi  </t>
  </si>
  <si>
    <t>Tự động được import, chứa các lớp cơ bản nhất:</t>
  </si>
  <si>
    <t>| Lớp / API | Mô tả | Kiểu trả về |</t>
  </si>
  <si>
    <t>|-----------|--------|-------------|</t>
  </si>
  <si>
    <t>| `String` | Chuỗi văn bản | `String` |</t>
  </si>
  <si>
    <t>| `Math` | Phép toán số học | `double`, `int`, `boolean`, tùy vào phương thức |</t>
  </si>
  <si>
    <t>| `System.out.println()` | In ra console | `void` |</t>
  </si>
  <si>
    <t>| `Object` | Lớp gốc của mọi lớp Java | `Object` |</t>
  </si>
  <si>
    <t xml:space="preserve">### 2. **`java.util`** – Làm việc với dữ liệu và cấu trúc dữ liệu  </t>
  </si>
  <si>
    <t>| `ArrayList` | Danh sách động | `ArrayList&lt;E&gt;` |</t>
  </si>
  <si>
    <t>| `HashMap` | Ánh xạ key-value | `HashMap&lt;K, V&gt;` |</t>
  </si>
  <si>
    <t>| `Collections.sort()` | Sắp xếp danh sách | `void` |</t>
  </si>
  <si>
    <t>| `Random.nextInt()` | Sinh số ngẫu nhiên | `int` |</t>
  </si>
  <si>
    <t>| `Date` / `Calendar` | Ngày giờ | `Date`, `Calendar` |</t>
  </si>
  <si>
    <t xml:space="preserve">### 3. **`java.io`** – Đọc ghi dữ liệu  </t>
  </si>
  <si>
    <t>| API | Mô tả | Kiểu trả về |</t>
  </si>
  <si>
    <t>|-----|--------|-------------|</t>
  </si>
  <si>
    <t>| `File` | Đại diện một file | `File` |</t>
  </si>
  <si>
    <t>| `FileReader` / `BufferedReader` | Đọc file | `char`, `String` |</t>
  </si>
  <si>
    <t>| `FileWriter` / `BufferedWriter` | Ghi file | `void` |</t>
  </si>
  <si>
    <t xml:space="preserve">### 4. **`java.nio`** – Xử lý file nâng cao  </t>
  </si>
  <si>
    <t>| `Files.readAllLines()` | Đọc toàn bộ dòng trong file | `List&lt;String&gt;` |</t>
  </si>
  <si>
    <t>| `Paths.get()` | Đường dẫn đến file | `Path` |</t>
  </si>
  <si>
    <t xml:space="preserve">### 5. **`java.net`** – Làm việc với mạng  </t>
  </si>
  <si>
    <t>| `URL` | Đối tượng URL | `URL` |</t>
  </si>
  <si>
    <t>| `HttpURLConnection` | Kết nối HTTP | `HttpURLConnection` |</t>
  </si>
  <si>
    <t>| `Socket` | Kết nối TCP | `Socket` |</t>
  </si>
  <si>
    <t xml:space="preserve">### 6. **`java.time`** – API ngày giờ hiện đại  </t>
  </si>
  <si>
    <t>| `LocalDate` | Ngày không thời gian | `LocalDate` |</t>
  </si>
  <si>
    <t>| `LocalTime` | Thời gian không ngày | `LocalTime` |</t>
  </si>
  <si>
    <t>| `LocalDateTime` | Ngày và thời gian | `LocalDateTime` |</t>
  </si>
  <si>
    <t>| `Duration` / `Period` | Khoảng thời gian | `Duration`, `Period` |</t>
  </si>
  <si>
    <t xml:space="preserve">### 7. **`java.util.concurrent`** – Lập trình đồng thời  </t>
  </si>
  <si>
    <t>| `ExecutorService` | Quản lý luồng | `ExecutorService` |</t>
  </si>
  <si>
    <t>| `Thread` | Luồng riêng biệt | `Thread` |</t>
  </si>
  <si>
    <t>| `Future.get()` | Lấy kết quả luồng | `T` (generic), có thể là `Object`, `Integer`,... |</t>
  </si>
  <si>
    <t>Nếu bạn đang phát triển ứng dụng web bằng Java, có thể còn dùng thêm:</t>
  </si>
  <si>
    <t>- **`Servlet API`**</t>
  </si>
  <si>
    <t>- **`Spring Framework`**</t>
  </si>
  <si>
    <t>- **`JDBC` (truy vấn database)**</t>
  </si>
  <si>
    <t>Bạn muốn mình chia theo mục đích sử dụng không? Ví dụ: API cho xử lý file, API cho lập trình mạng, API cho giao diện đồ họa,… Mình có thể mở rộng danh sách theo nhu cầu của bạn đó 💡</t>
  </si>
  <si>
    <t>Tuyệt rồi! Mình sẽ chia các API Java phổ biến theo **mục đích sử dụng** để bạn dễ tìm và ứng dụng hơn. Dưới đây là cách phân loại giúp bạn chọn đúng công cụ cho từng tình huống lập trình:</t>
  </si>
  <si>
    <t>## 🗂️ **1. Làm việc với chuỗi và số**</t>
  </si>
  <si>
    <t>| API / Class | Mô tả | Kiểu trả về |</t>
  </si>
  <si>
    <t>|-------------|--------|-------------|</t>
  </si>
  <si>
    <t>| `String` | Xử lý văn bản | `String` |</t>
  </si>
  <si>
    <t>| `StringBuilder`, `StringBuffer` | Nối, chỉnh sửa chuỗi hiệu quả | `StringBuilder`, `StringBuffer` |</t>
  </si>
  <si>
    <t>| `Math` | Phép toán học | `double`, `int`, `boolean` |</t>
  </si>
  <si>
    <t>| `NumberFormat` | Format số, tiền tệ | `String` |</t>
  </si>
  <si>
    <t>--------------------</t>
  </si>
  <si>
    <t>String class:</t>
  </si>
  <si>
    <t>## 🔧 Các phương thức thường dùng của `String`</t>
  </si>
  <si>
    <t>| Phương thức | Mô tả | Kiểu trả về |</t>
  </si>
  <si>
    <t>|------------|-------|-------------|</t>
  </si>
  <si>
    <t>| `length()` | Trả về độ dài chuỗi | `int` |</t>
  </si>
  <si>
    <t>| `charAt(int index)` | Lấy ký tự tại vị trí `index` | `char` |</t>
  </si>
  <si>
    <t>| `substring(int beginIndex)` | Trích xuất chuỗi con từ vị trí | `String` |</t>
  </si>
  <si>
    <t>| `substring(int beginIndex, int endIndex)` | Trích xuất chuỗi con từ begin đến end | `String` |</t>
  </si>
  <si>
    <t>| `equals(Object obj)` | So sánh chuỗi với đối tượng khác | `boolean` |</t>
  </si>
  <si>
    <t>| `equalsIgnoreCase(String anotherString)` | So sánh chuỗi, bỏ qua chữ hoa/thường | `boolean` |</t>
  </si>
  <si>
    <t>| `compareTo(String anotherString)` | So sánh chuỗi theo thứ tự từ điển | `int` |</t>
  </si>
  <si>
    <t>| `compareToIgnoreCase(String anotherString)` | So sánh từ điển, bỏ qua hoa/thường | `int` |</t>
  </si>
  <si>
    <t>| `contains(CharSequence s)` | Kiểm tra chuỗi có chứa chuỗi con | `boolean` |</t>
  </si>
  <si>
    <t>| `indexOf(String str)` | Vị trí đầu tiên của chuỗi con | `int` |</t>
  </si>
  <si>
    <t>| `lastIndexOf(String str)` | Vị trí cuối cùng của chuỗi con | `int` |</t>
  </si>
  <si>
    <t>| `startsWith(String prefix)` | Kiểm tra chuỗi bắt đầu bằng prefix | `boolean` |</t>
  </si>
  <si>
    <t>| `endsWith(String suffix)` | Kiểm tra chuỗi kết thúc bằng suffix | `boolean` |</t>
  </si>
  <si>
    <t>| `toLowerCase()` | Chuyển chuỗi thành chữ thường | `String` |</t>
  </si>
  <si>
    <t>| `toUpperCase()` | Chuyển chuỗi thành chữ hoa | `String` |</t>
  </si>
  <si>
    <t>| `trim()` | Xóa khoảng trắng đầu và cuối chuỗi | `String` |</t>
  </si>
  <si>
    <t>| `replace(char oldChar, char newChar)` | Thay thế ký tự | `String` |</t>
  </si>
  <si>
    <t>| `split(String regex)` | Tách chuỗi theo biểu thức chính quy | `String[]` |</t>
  </si>
  <si>
    <t>Dưới đây là một số **regex phổ biến nhất** thường được dùng với `String.split()` trong Java để tách chuỗi theo nhiều kiểu khác nhau. Regex giúp bạn linh hoạt hơn rất nhiều so với việc chỉ dùng ký tự đơn làm dấu phân cách 🧠</t>
  </si>
  <si>
    <t>## 🔹 **Regex cơ bản thường dùng với `split()`**</t>
  </si>
  <si>
    <t>| Regex | Tác dụng | Ví dụ kết quả |</t>
  </si>
  <si>
    <t>|-------|----------|----------------|</t>
  </si>
  <si>
    <t>| `"\\s+"` | Tách theo khoảng trắng (1 hoặc nhiều) | `"a b   c"` → `["a", "b", "c"]` |</t>
  </si>
  <si>
    <t>| `","` | Tách theo dấu phẩy | `"a,b,c"` → `["a", "b", "c"]` |</t>
  </si>
  <si>
    <t>| `"[,\\s]+"` | Tách theo dấu phẩy hoặc khoảng trắng | `"a, b  ,c"` → `["a", "b", "c"]` |</t>
  </si>
  <si>
    <t>| `"\\."` | Tách theo dấu chấm (phải escape) | `"a.b.c"` → `["a", "b", "c"]` |</t>
  </si>
  <si>
    <t>| `"\\d+"` | Tách tại các chữ số | `"a1b22c"` → `["a", "b", "c"]` |</t>
  </si>
  <si>
    <t>| `"\\W+"` | Tách theo ký tự không phải chữ/số | `"a@b#c"` → `["a", "b", "c"]` |</t>
  </si>
  <si>
    <t>| `"(?&lt;=\\d)(?=\\D)"` | Tách giữa số và chữ | `"123abc"` → `["123", "abc"]` |</t>
  </si>
  <si>
    <t>| `"(?&lt;=\\p{L})(?=\\p{N})"` | Tách giữa chữ và số | `"abc123"` → `["abc", "123"]` |</t>
  </si>
  <si>
    <t>| `"(?&lt;=\\b\\w{3})"` | Tách sau mỗi từ có 3 ký tự | `"catdogpig"` → `["cat", "dog", "pig"]` |</t>
  </si>
  <si>
    <t>## 🧪 Một số ví dụ nâng cao</t>
  </si>
  <si>
    <t xml:space="preserve">- **Tách theo nhiều dấu phân cách**:  </t>
  </si>
  <si>
    <t xml:space="preserve">  `"[,;|]"` → tách theo dấu phẩy, chấm phẩy, hoặc dấu gạch đứng.</t>
  </si>
  <si>
    <t xml:space="preserve">- **Tách theo biểu thức logic**:  </t>
  </si>
  <si>
    <t xml:space="preserve">  `"(?&lt;=\\w)(?=\\W)"` → tách giữa ký tự và ký tự đặc biệt.</t>
  </si>
  <si>
    <t xml:space="preserve">- **Tách giữ lại dấu phân cách** (dùng `lookahead/lookbehind`):  </t>
  </si>
  <si>
    <t xml:space="preserve">  `"(?&lt;=,)|(?=,)"` → tách nhưng vẫn giữ dấu phẩy trong mảng kết quả.</t>
  </si>
  <si>
    <t xml:space="preserve">Nếu bạn muốn mình viết ví dụ code Java cụ thể cho từng regex, hoặc bạn đang xử lý một chuỗi cụ thể và cần regex phù hợp, mình có thể giúp bạn viết regex chính xác nhất nhé </t>
  </si>
  <si>
    <t>| `isEmpty()` | Kiểm tra chuỗi rỗng | `boolean` |</t>
  </si>
  <si>
    <t>| `toCharArray()` | Chuyển chuỗi thành mảng ký tự | `char[]` |</t>
  </si>
  <si>
    <t>| `concat(String str)` | Nối chuỗi | `String` |</t>
  </si>
  <si>
    <t>| `matches(String regex)` | Kiểm tra chuỗi khớp với regex | `boolean` |</t>
  </si>
  <si>
    <t>## 🧬 Thuộc tính (field) của `String`</t>
  </si>
  <si>
    <t>- `CASE_INSENSITIVE_ORDER`: Một `Comparator&lt;String&gt;` dùng để so sánh chuỗi **không phân biệt hoa thường**.</t>
  </si>
  <si>
    <t>- Ngoài ra, `String` không có nhiều thuộc tính public — hầu hết là private như `value[]`, `hash`,… dùng nội bộ.</t>
  </si>
  <si>
    <t>Nếu bạn muốn mình minh họa bằng ví dụ code cho từng method, hoặc so sánh với `StringBuilder`/`StringBuffer`, mình làm ngay nhé. Bạn có muốn mình nhóm theo chức năng như xử lý chuỗi, tìm kiếm, so sánh,… không? 💡</t>
  </si>
  <si>
    <t>StringBuffer class:</t>
  </si>
  <si>
    <t>Dĩ nhiên rồi! `StringBuffer` là một class trong Java dùng để xử lý chuỗi **có thể thay đổi được** (mutable) và **an toàn trong môi trường đa luồng** (thread-safe). Dưới đây là danh sách các **phương thức và thuộc tính phổ biến nhất** của `StringBuffer`, kèm mô tả và kiểu trả về:</t>
  </si>
  <si>
    <t>## 🔧 Các phương thức thường dùng của `StringBuffer`</t>
  </si>
  <si>
    <t>| `append(String str)` | Thêm chuỗi vào cuối | `StringBuffer` |</t>
  </si>
  <si>
    <t>| `insert(int offset, String str)` | Chèn chuỗi tại vị trí chỉ định | `StringBuffer` |</t>
  </si>
  <si>
    <t>| `replace(int start, int end, String str)` | Thay thế chuỗi con | `StringBuffer` |</t>
  </si>
  <si>
    <t>| `delete(int start, int end)` | Xóa chuỗi con | `StringBuffer` |</t>
  </si>
  <si>
    <t>| `deleteCharAt(int index)` | Xóa ký tự tại vị trí | `StringBuffer` |</t>
  </si>
  <si>
    <t>| `reverse()` | Đảo ngược chuỗi | `StringBuffer` |</t>
  </si>
  <si>
    <t>| `setCharAt(int index, char ch)` | Gán ký tự tại vị trí | `void` |</t>
  </si>
  <si>
    <t>| `charAt(int index)` | Lấy ký tự tại vị trí | `char` |</t>
  </si>
  <si>
    <t>| `substring(int start)` | Trích xuất chuỗi con | `String` |</t>
  </si>
  <si>
    <t>| `substring(int start, int end)` | Trích xuất chuỗi con từ start đến end | `String` |</t>
  </si>
  <si>
    <t>| `length()` | Độ dài chuỗi | `int` |</t>
  </si>
  <si>
    <t>| `capacity()` | Dung lượng hiện tại của buffer | `int` |</t>
  </si>
  <si>
    <t>| `ensureCapacity(int minCapacity)` | Đảm bảo dung lượng tối thiểu | `void` |</t>
  </si>
  <si>
    <t>| `setLength(int newLength)` | Thiết lập độ dài chuỗi | `void` |</t>
  </si>
  <si>
    <t>| `toString()` | Chuyển thành chuỗi `String` | `String` |</t>
  </si>
  <si>
    <t>## 🧬 Thuộc tính (fields) của `StringBuffer`</t>
  </si>
  <si>
    <t>- `value[]` *(private)*: Mảng ký tự lưu trữ nội dung chuỗi.</t>
  </si>
  <si>
    <t>- `count` *(private)*: Số lượng ký tự hiện có.</t>
  </si>
  <si>
    <t>- `shared` *(private)*: Cờ nội bộ dùng cho tối ưu hóa bộ nhớ.</t>
  </si>
  <si>
    <t>- `CASE_INSENSITIVE_ORDER`: Không có trong `StringBuffer`, chỉ có trong `String`.</t>
  </si>
  <si>
    <t>&gt; Lưu ý: Các thuộc tính của `StringBuffer` hầu hết là **private**, nên bạn chỉ tương tác thông qua các phương thức công khai (public methods).</t>
  </si>
  <si>
    <t>## 📆 **2. Xử lý ngày giờ**</t>
  </si>
  <si>
    <t>| `LocalDate`, `LocalTime`, `LocalDateTime` | Ngày &amp; giờ hiện đại | `LocalDate`, `LocalTime`, `LocalDateTime` |</t>
  </si>
  <si>
    <t>| `Date`, `Calendar` | API ngày giờ truyền thống | `Date`, `Calendar` |</t>
  </si>
  <si>
    <t>| `SimpleDateFormat` | Format ngày tháng | `String` |</t>
  </si>
  <si>
    <t>| `Duration`, `Period` | Khoảng thời gian | `Duration`, `Period` |</t>
  </si>
  <si>
    <t>## 📚 **3. Cấu trúc dữ liệu và tập hợp**</t>
  </si>
  <si>
    <t>| `ArrayList`, `LinkedList` | Danh sách | `List&lt;E&gt;` |</t>
  </si>
  <si>
    <t>| `HashMap`, `TreeMap` | Bản đồ key-value | `Map&lt;K, V&gt;` |</t>
  </si>
  <si>
    <t>| `HashSet`, `TreeSet` | Tập hợp | `Set&lt;E&gt;` |</t>
  </si>
  <si>
    <t>| `Collections` | Tiện ích thao tác tập hợp | `void`, `boolean`, `List&lt;E&gt;`... |</t>
  </si>
  <si>
    <t>## 🔧 Các phương thức thường dùng của `ArrayList`</t>
  </si>
  <si>
    <t>| `add(E e)` | Thêm phần tử vào cuối danh sách | `boolean` |</t>
  </si>
  <si>
    <t>| `add(int index, E element)` | Thêm phần tử tại vị trí chỉ định | `void` |</t>
  </si>
  <si>
    <t>| `addAll(Collection&lt;? extends E&gt; c)` | Thêm tất cả phần tử từ collection khác | `boolean` |</t>
  </si>
  <si>
    <t>| `get(int index)` | Lấy phần tử tại vị trí | `E` |</t>
  </si>
  <si>
    <t>| `set(int index, E element)` | Gán phần tử tại vị trí | `E` |</t>
  </si>
  <si>
    <t>| `remove(int index)` | Xóa phần tử tại vị trí | `E` |</t>
  </si>
  <si>
    <t>| `remove(Object o)` | Xóa phần tử đầu tiên khớp với đối tượng | `boolean` |</t>
  </si>
  <si>
    <t>| `clear()` | Xóa toàn bộ phần tử | `void` |</t>
  </si>
  <si>
    <t>| `size()` | Trả về số lượng phần tử | `int` |</t>
  </si>
  <si>
    <t>| `isEmpty()` | Kiểm tra danh sách có rỗng không | `boolean` |</t>
  </si>
  <si>
    <t>| `contains(Object o)` | Kiểm tra có chứa phần tử không | `boolean` |</t>
  </si>
  <si>
    <t>| `indexOf(Object o)` | Vị trí đầu tiên của phần tử | `int` |</t>
  </si>
  <si>
    <t>| `lastIndexOf(Object o)` | Vị trí cuối cùng của phần tử | `int` |</t>
  </si>
  <si>
    <t>| `subList(int fromIndex, int toIndex)` | Trích xuất danh sách con | `List&lt;E&gt;` |</t>
  </si>
  <si>
    <t>| `toArray()` | Chuyển thành mảng | `Object[]` |</t>
  </si>
  <si>
    <t>| `sort(Comparator&lt;? super E&gt; c)` | Sắp xếp danh sách | `void` |</t>
  </si>
  <si>
    <t>| `iterator()` | Trả về iterator để duyệt danh sách | `Iterator&lt;E&gt;` |</t>
  </si>
  <si>
    <t>| `listIterator()` | Trả về list iterator | `ListIterator&lt;E&gt;` |</t>
  </si>
  <si>
    <t>| `trimToSize()` | Cắt dung lượng về đúng kích thước hiện tại | `void` |</t>
  </si>
  <si>
    <t>## 🧬 Thuộc tính (fields) của `ArrayList`</t>
  </si>
  <si>
    <t>&gt; Hầu hết các thuộc tính của `ArrayList` là **private**, không thể truy cập trực tiếp từ bên ngoài. Tuy nhiên, một số thuộc tính nội bộ đáng chú ý:</t>
  </si>
  <si>
    <t>- `elementData[]` *(private)*: Mảng lưu trữ phần tử.</t>
  </si>
  <si>
    <t>- `size` *(private)*: Số lượng phần tử hiện có.</t>
  </si>
  <si>
    <t>- `modCount` *(protected)*: Dùng để kiểm tra thay đổi cấu trúc khi duyệt bằng iterator.</t>
  </si>
  <si>
    <t>Chắc chắn rồi! `List&lt;E&gt;` là một interface trong Java thuộc gói `java.util`, đại diện cho một **danh sách có thứ tự** các phần tử. Nó là cha của các class như `ArrayList`, `LinkedList`, `Vector`, v.v. Dưới đây là danh sách các **phương thức thường dùng nhất** của `List&lt;E&gt;`, cùng với mô tả và kiểu trả về:</t>
  </si>
  <si>
    <t>## 🔧 Các phương thức phổ biến của `List&lt;E&gt;`</t>
  </si>
  <si>
    <t>| `toArray()` | Chuyển thành mảng | `Object[]` hoặc `E[]` |</t>
  </si>
  <si>
    <t>| `equals(Object o)` | So sánh danh sách với đối tượng khác | `boolean` |</t>
  </si>
  <si>
    <t>| `hashCode()` | Mã băm của danh sách | `int` |</t>
  </si>
  <si>
    <t>| `stream()` *(Java 8+)* | Tạo stream để xử lý dữ liệu | `Stream&lt;E&gt;` |</t>
  </si>
  <si>
    <t>## 🧬 Thuộc tính (fields) của `List&lt;E&gt;`</t>
  </si>
  <si>
    <t>Vì `List` là một **interface**, nên nó **không có thuộc tính cụ thể**. Các class triển khai như `ArrayList`, `LinkedList` mới có các thuộc tính nội bộ như:</t>
  </si>
  <si>
    <t>- `elementData[]` *(ArrayList)*: mảng lưu trữ phần tử</t>
  </si>
  <si>
    <t>- `size` *(ArrayList)*: số lượng phần tử hiện có</t>
  </si>
  <si>
    <t>- `first`, `last` *(LinkedList)*: node đầu và cuối danh sách</t>
  </si>
  <si>
    <t>Trong Java, `List&lt;E&gt;` là một **interface**, nên bạn **không thể khởi tạo trực tiếp** bằng `new List&lt;E&gt;()`. Thay vào đó, bạn cần dùng một **class triển khai** như `ArrayList`, `LinkedList`, `Vector`, v.v. Dưới đây là các cách phổ biến để khởi tạo `List&lt;E&gt;`:</t>
  </si>
  <si>
    <t>## 🚀 Cách khởi tạo `List&lt;E&gt;` trong Java</t>
  </si>
  <si>
    <t>### 1. ✅ Dùng `ArrayList` (phổ biến nhất)</t>
  </si>
  <si>
    <t>```java</t>
  </si>
  <si>
    <t>List&lt;String&gt; list = new ArrayList&lt;&gt;();</t>
  </si>
  <si>
    <t>list.add("Apple");</t>
  </si>
  <si>
    <t>list.add("Banana");</t>
  </si>
  <si>
    <t>### 2. 🧱 Dùng `LinkedList`</t>
  </si>
  <si>
    <t>List&lt;Integer&gt; list = new LinkedList&lt;&gt;();</t>
  </si>
  <si>
    <t>list.add(1);</t>
  </si>
  <si>
    <t>list.add(2);</t>
  </si>
  <si>
    <t>### 3. 📦 Khởi tạo với giá trị có sẵn (`Arrays.asList`)</t>
  </si>
  <si>
    <t>List&lt;String&gt; list = Arrays.asList("A", "B", "C"); // Immutable</t>
  </si>
  <si>
    <t>&gt; ⚠️ Danh sách này không thể thêm/xóa phần tử.</t>
  </si>
  <si>
    <t>### 4. 🔄 Tạo danh sách có thể chỉnh sửa từ `Arrays.asList`</t>
  </si>
  <si>
    <t>List&lt;String&gt; list = new ArrayList&lt;&gt;(Arrays.asList("A", "B", "C"));</t>
  </si>
  <si>
    <t>list.add("D"); // OK</t>
  </si>
  <si>
    <t>### 5. 🌊 Dùng `Stream` (Java 8+)</t>
  </si>
  <si>
    <t>List&lt;Integer&gt; list = Stream.of(1, 2, 3).collect(Collectors.toList());</t>
  </si>
  <si>
    <t>### 6. 🧊 Dùng `List.of()` (Java 9+)</t>
  </si>
  <si>
    <t>List&lt;String&gt; list = List.of("X", "Y", "Z"); // Immutable</t>
  </si>
  <si>
    <t>### 7. 🧪 Double-brace initialization (ít dùng, không khuyến khích)</t>
  </si>
  <si>
    <t>List&lt;String&gt; list = new ArrayList&lt;&gt;() {{</t>
  </si>
  <si>
    <t xml:space="preserve">    add("One");</t>
  </si>
  <si>
    <t xml:space="preserve">    add("Two");</t>
  </si>
  <si>
    <t>}};</t>
  </si>
  <si>
    <t>&gt; ⚠️ Tạo class ẩn danh, có thể gây lỗi hoặc khó bảo trì.</t>
  </si>
  <si>
    <t>Chắc chắn rồi! `Collections` là một **class tiện ích** trong Java thuộc gói `java.util`, chứa các **phương thức tĩnh (static)** để thao tác với các đối tượng thuộc Collection như `List`, `Set`, `Map`, v.v. Đây là một phần quan trọng trong Java Collections Framework.</t>
  </si>
  <si>
    <t>## 🔧 Các phương thức thường dùng của `Collections`</t>
  </si>
  <si>
    <t>| `sort(List&lt;T&gt; list)` | Sắp xếp danh sách theo thứ tự tự nhiên | `void` |</t>
  </si>
  <si>
    <t>| `sort(List&lt;T&gt; list, Comparator&lt;? super T&gt; c)` | Sắp xếp theo comparator tùy chỉnh | `void` |</t>
  </si>
  <si>
    <t>| `reverse(List&lt;?&gt; list)` | Đảo ngược thứ tự phần tử trong danh sách | `void` |</t>
  </si>
  <si>
    <t>| `shuffle(List&lt;?&gt; list)` | Xáo trộn ngẫu nhiên danh sách | `void` |</t>
  </si>
  <si>
    <t>| `swap(List&lt;?&gt; list, int i, int j)` | Hoán đổi hai phần tử trong danh sách | `void` |</t>
  </si>
  <si>
    <t>| `max(Collection&lt;? extends T&gt; coll)` | Trả về phần tử lớn nhất | `T` |</t>
  </si>
  <si>
    <t>| `min(Collection&lt;? extends T&gt; coll)` | Trả về phần tử nhỏ nhất | `T` |</t>
  </si>
  <si>
    <t>| `frequency(Collection&lt;?&gt; c, Object o)` | Đếm số lần xuất hiện của phần tử | `int` |</t>
  </si>
  <si>
    <t>| `binarySearch(List&lt;? extends Comparable&lt;? super T&gt;&gt; list, T key)` | Tìm kiếm nhị phân trong danh sách đã sắp xếp | `int` |</t>
  </si>
  <si>
    <t>| `fill(List&lt;? super T&gt; list, T obj)` | Gán toàn bộ phần tử bằng một giá trị | `void` |</t>
  </si>
  <si>
    <t>| `copy(List&lt;? super T&gt; dest, List&lt;? extends T&gt; src)` | Sao chép phần tử từ danh sách nguồn sang đích | `void` |</t>
  </si>
  <si>
    <t>| `addAll(Collection&lt;? super T&gt; c, T... elements)` | Thêm nhiều phần tử vào collection | `boolean` |</t>
  </si>
  <si>
    <t>| `replaceAll(List&lt;T&gt; list, T oldVal, T newVal)` | Thay thế tất cả phần tử bằng giá trị mới | `boolean` |</t>
  </si>
  <si>
    <t>| `rotate(List&lt;?&gt; list, int distance)` | Xoay danh sách theo khoảng cách | `void` |</t>
  </si>
  <si>
    <t>| `disjoint(Collection&lt;?&gt; c1, Collection&lt;?&gt; c2)` | Kiểm tra hai collection có phần tử chung không | `boolean` |</t>
  </si>
  <si>
    <t>## 🧬 Thuộc tính (fields) của `Collections`</t>
  </si>
  <si>
    <t>| Thuộc tính | Mô tả |</t>
  </si>
  <si>
    <t>|------------|-------|</t>
  </si>
  <si>
    <t>| `EMPTY_LIST` | Danh sách rỗng, không thể chỉnh sửa |</t>
  </si>
  <si>
    <t>| `EMPTY_SET` | Tập hợp rỗng, không thể chỉnh sửa |</t>
  </si>
  <si>
    <t>| `EMPTY_MAP` | Bản đồ rỗng, không thể chỉnh sửa |</t>
  </si>
  <si>
    <t>&gt; 🔒 Các thuộc tính này hữu ích khi bạn cần trả về một collection rỗng mà không muốn bị thay đổi.</t>
  </si>
  <si>
    <t>Trong Java, class `Collections` thuộc gói `java.util` là một **class tiện ích** chứa các **phương thức tĩnh (static)** để thao tác với các collection như `List`, `Set`, `Map`, v.v. Vì nó **không phải là một collection**, bạn **không khởi tạo đối tượng từ `Collections`** như thông thường. Thay vào đó, bạn **gọi trực tiếp các phương thức static** của nó.</t>
  </si>
  <si>
    <t>## 🚀 Cách sử dụng `Collections` trong Java</t>
  </si>
  <si>
    <t>### 1. 🔢 Sắp xếp danh sách</t>
  </si>
  <si>
    <t>List&lt;Integer&gt; list = Arrays.asList(5, 2, 9, 1);</t>
  </si>
  <si>
    <t>Collections.sort(list); // Sắp xếp tăng dần</t>
  </si>
  <si>
    <t>### 2. 🔄 Đảo ngược danh sách</t>
  </si>
  <si>
    <t>Collections.reverse(list);</t>
  </si>
  <si>
    <t>### 3. 🎲 Xáo trộn danh sách</t>
  </si>
  <si>
    <t>Collections.shuffle(list);</t>
  </si>
  <si>
    <t>### 4. 🔍 Tìm kiếm nhị phân (danh sách phải được sắp xếp trước)</t>
  </si>
  <si>
    <t>int index = Collections.binarySearch(list, 9);</t>
  </si>
  <si>
    <t>### 5. 🔁 Thay thế tất cả phần tử</t>
  </si>
  <si>
    <t>Collections.fill(list, 0); // Gán tất cả phần tử thành 0</t>
  </si>
  <si>
    <t>### 6. 📊 Đếm số lần xuất hiện</t>
  </si>
  <si>
    <t>int count = Collections.frequency(list, 2);</t>
  </si>
  <si>
    <t>### 7. 🔄 Hoán đổi phần tử</t>
  </si>
  <si>
    <t>Collections.swap(list, 0, 2);</t>
  </si>
  <si>
    <t>### 8. 🧊 Tạo danh sách rỗng, không thể chỉnh sửa</t>
  </si>
  <si>
    <t>List&lt;String&gt; emptyList = Collections.emptyList();</t>
  </si>
  <si>
    <t>### 9. 🔒 Tạo danh sách bất biến (unmodifiable)</t>
  </si>
  <si>
    <t>List&lt;String&gt; unmodifiableList = Collections.unmodifiableList(list);</t>
  </si>
  <si>
    <t>### 10. 🧵 Tạo danh sách đồng bộ (thread-safe)</t>
  </si>
  <si>
    <t>List&lt;String&gt; syncList = Collections.synchronizedList(new ArrayList&lt;&gt;());</t>
  </si>
  <si>
    <t>## ❌ Không thể khởi tạo như sau:</t>
  </si>
  <si>
    <t>Collections col = new Collections(); // ❌ Sai vì class này chỉ có static method</t>
  </si>
  <si>
    <t>💡</t>
  </si>
  <si>
    <t>## 📁 **4. Đọc/Ghi dữ liệu và xử lý file**</t>
  </si>
  <si>
    <t>| `File`, `Path` | Đại diện file và đường dẫn | `File`, `Path` |</t>
  </si>
  <si>
    <t>| `FileReader`, `BufferedReader` | Đọc file | `String`, `char[]`,... |</t>
  </si>
  <si>
    <t>| `FileWriter`, `BufferedWriter` | Ghi file | `void` |</t>
  </si>
  <si>
    <t>| `Files.readAllLines()` | Đọc toàn bộ nội dung file | `List&lt;String&gt;` |</t>
  </si>
  <si>
    <t>Chắc chắn rồi! `ArrayList` là một trong những class quan trọng nhất trong Java, thuộc gói `java.util`. Nó đại diện cho một **mảng động** có thể thay đổi kích thước linh hoạt. Dưới đây là danh sách các **phương thức và thuộc tính phổ biến nhất** của `ArrayList`, kèm mô tả và kiểu trả về:</t>
  </si>
  <si>
    <t>## 🌐 **5. Làm việc với mạng và HTTP**</t>
  </si>
  <si>
    <t>| `HttpURLConnection` | Gửi request HTTP | `HttpURLConnection` |</t>
  </si>
  <si>
    <t>| `Socket`, `ServerSocket` | Giao tiếp TCP/IP | `Socket`, `ServerSocket` |</t>
  </si>
  <si>
    <t>## 🔄 **6. Đa luồng &amp; xử lý bất đồng bộ**</t>
  </si>
  <si>
    <t>| `Thread` | Tạo luồng mới | `Thread` |</t>
  </si>
  <si>
    <t>| `Runnable` | Nhiệm vụ chạy song song | `void` |</t>
  </si>
  <si>
    <t>| `Future` | Lấy kết quả bất đồng bộ | `T` (generic type) |</t>
  </si>
  <si>
    <t>## 🧪 **7. Gỡ lỗi, kiểm thử và phản hồi**</t>
  </si>
  <si>
    <t>| `Logger` | Ghi log hệ thống | `Logger` |</t>
  </si>
  <si>
    <t>| `Assert` (JUnit) | Kiểm thử tự động | `void`, `boolean` |</t>
  </si>
  <si>
    <t>## 🎨 **8. Giao diện người dùng (GUI)**</t>
  </si>
  <si>
    <t>| `JFrame`, `JPanel`, `JButton` | Giao diện Swing | `JFrame`, `JPanel`, `JButton` |</t>
  </si>
  <si>
    <t>| `JavaFX` | GUI hiện đại | `Stage`, `Scene`, `Node` |</t>
  </si>
  <si>
    <t>Nếu bạn muốn mình ví dụ code nhỏ cho từng nhóm, hoặc mở rộng ra các thư viện Java ngoài core (như Spring, Hibernate, hoặc các API web REST), mình làm ngay nhé 💡</t>
  </si>
  <si>
    <t>ArrayList&lt;String&gt; list = new ArrayList&lt;&gt;();</t>
  </si>
  <si>
    <t>1. ✅ Khởi tạo rỗng</t>
  </si>
  <si>
    <t>2. 📦 Khởi tạo với kích thước ban đầu</t>
  </si>
  <si>
    <t>ArrayList&lt;Integer&gt; list = new ArrayList&lt;&gt;(50); // dung lượng ban đầu là 50</t>
  </si>
  <si>
    <t>3. 🧱 Khởi tạo từ mảng có sẵn</t>
  </si>
  <si>
    <t>ArrayList&lt;String&gt; list = new ArrayList&lt;&gt;(Arrays.asList("A", "B", "C"));</t>
  </si>
  <si>
    <r>
      <t xml:space="preserve">4. 🧊 Khởi tạo từ </t>
    </r>
    <r>
      <rPr>
        <sz val="10"/>
        <color rgb="FF000000"/>
        <rFont val="Arial Unicode MS"/>
      </rPr>
      <t>List.of()</t>
    </r>
    <r>
      <rPr>
        <sz val="10"/>
        <color rgb="FF000000"/>
        <rFont val="Arial"/>
        <family val="2"/>
        <scheme val="minor"/>
      </rPr>
      <t xml:space="preserve"> (Java 9+)</t>
    </r>
  </si>
  <si>
    <t>ArrayList&lt;String&gt; list = new ArrayList&lt;&gt;(List.of("X", "Y", "Z"));</t>
  </si>
  <si>
    <r>
      <t xml:space="preserve">5. 🌊 Khởi tạo từ </t>
    </r>
    <r>
      <rPr>
        <sz val="10"/>
        <color rgb="FF000000"/>
        <rFont val="Arial Unicode MS"/>
      </rPr>
      <t>Stream</t>
    </r>
    <r>
      <rPr>
        <sz val="10"/>
        <color rgb="FF000000"/>
        <rFont val="Arial"/>
        <family val="2"/>
        <scheme val="minor"/>
      </rPr>
      <t xml:space="preserve"> (Java 8+)</t>
    </r>
  </si>
  <si>
    <t>ArrayList&lt;String&gt; list = Stream.of("One", "Two", "Three")</t>
  </si>
  <si>
    <t xml:space="preserve">    .collect(Collectors.toCollection(ArrayList::new));</t>
  </si>
  <si>
    <t>Tuyệt vời, mình sẽ giúp bạn so sánh `Iterator&lt;E&gt;` với vòng lặp `for-each` trong Java một cách dễ hiểu và chi tiết nhé:</t>
  </si>
  <si>
    <t>## ⚔️ So sánh `Iterator&lt;E&gt;` vs `for-each` loop</t>
  </si>
  <si>
    <t>| Tiêu chí | `Iterator&lt;E&gt;` | `for-each` loop |</t>
  </si>
  <si>
    <t>|---------|----------------|------------------|</t>
  </si>
  <si>
    <t>| **Khả năng xóa phần tử** | ✅ Có thể dùng `remove()` để xóa phần tử khi duyệt | ❌ Không thể xóa trực tiếp, sẽ gây lỗi `ConcurrentModificationException` |</t>
  </si>
  <si>
    <t>| **Chiều duyệt** | Một chiều (có thể dùng `ListIterator` để duyệt hai chiều) | Một chiều |</t>
  </si>
  <si>
    <t>| **Truy cập phần tử** | Dùng `next()` để lấy phần tử | Truy cập trực tiếp từng phần tử |</t>
  </si>
  <si>
    <t>| **Độ rõ ràng của mã nguồn** | Ít rõ ràng hơn, dài dòng hơn | Rõ ràng, ngắn gọn, dễ đọc |</t>
  </si>
  <si>
    <t>| **Khả năng sửa đổi collection** | ✅ Có thể sửa đổi khi duyệt | ❌ Không thể sửa đổi trực tiếp |</t>
  </si>
  <si>
    <t>| **Hiệu năng** | Tương đương | Tương đương |</t>
  </si>
  <si>
    <t>| **Dùng được với** | Mọi `Collection` | Mọi `Iterable` và mảng |</t>
  </si>
  <si>
    <t>| **Java version** | Mọi phiên bản | Từ Java 5 trở lên |</t>
  </si>
  <si>
    <t>## 📌 Khi nào dùng cái nào?</t>
  </si>
  <si>
    <t>- Dùng **`Iterator`** khi bạn cần:</t>
  </si>
  <si>
    <t xml:space="preserve">  - Xóa phần tử trong khi duyệt</t>
  </si>
  <si>
    <t xml:space="preserve">  - Kiểm soát chi tiết quá trình duyệt</t>
  </si>
  <si>
    <t xml:space="preserve">  - Duyệt hai chiều (dùng `ListIterator`)</t>
  </si>
  <si>
    <t>- Dùng **`for-each`** khi bạn cần:</t>
  </si>
  <si>
    <t xml:space="preserve">  - Duyệt đơn giản, không sửa đổi collection</t>
  </si>
  <si>
    <t xml:space="preserve">  - Viết mã ngắn gọn, dễ đọc</t>
  </si>
  <si>
    <t>## 🧪 Ví dụ minh họa</t>
  </si>
  <si>
    <t>### 🔹 Duyệt bằng `Iterator` và xóa phần tử</t>
  </si>
  <si>
    <t>Iterator&lt;String&gt; it = list.iterator();</t>
  </si>
  <si>
    <t>while (it.hasNext()) {</t>
  </si>
  <si>
    <t>String item = it.next();</t>
  </si>
  <si>
    <t>if (item.equals("X")) {</t>
  </si>
  <si>
    <t>it.remove(); // Xóa an toàn</t>
  </si>
  <si>
    <t>}</t>
  </si>
  <si>
    <t>### 🔹 Duyệt bằng `for-each` (không thể xóa)</t>
  </si>
  <si>
    <t>for (String item : list) {</t>
  </si>
  <si>
    <t>System.out.println(item);</t>
  </si>
  <si>
    <t>// list.remove(item); ❌ Gây lỗi nếu xóa tại đây</t>
  </si>
  <si>
    <r>
      <t xml:space="preserve">Dễ nhớ thôi! Để xây dựng một </t>
    </r>
    <r>
      <rPr>
        <b/>
        <sz val="10"/>
        <color rgb="FF000000"/>
        <rFont val="Arial"/>
        <family val="2"/>
        <scheme val="minor"/>
      </rPr>
      <t>menu tương tác trong terminal bằng Java</t>
    </r>
    <r>
      <rPr>
        <sz val="10"/>
        <color rgb="FF000000"/>
        <rFont val="Arial"/>
        <family val="2"/>
        <scheme val="minor"/>
      </rPr>
      <t>, bạn có thể tuân theo các bước cơ bản sau:</t>
    </r>
  </si>
  <si>
    <t>🛠️ Các bước cơ bản để xây dựng menu trên terminal Java</t>
  </si>
  <si>
    <t>1. Khởi tạo chương trình chính</t>
  </si>
  <si>
    <r>
      <t xml:space="preserve">Tạo </t>
    </r>
    <r>
      <rPr>
        <sz val="10"/>
        <color rgb="FF000000"/>
        <rFont val="Arial Unicode MS"/>
      </rPr>
      <t>main</t>
    </r>
    <r>
      <rPr>
        <sz val="10"/>
        <color rgb="FF000000"/>
        <rFont val="Arial"/>
        <family val="2"/>
        <scheme val="minor"/>
      </rPr>
      <t xml:space="preserve"> method làm điểm bắt đầu chạy chương trình.</t>
    </r>
  </si>
  <si>
    <t>2. Hiển thị menu lên terminal</t>
  </si>
  <si>
    <t>In danh sách các tùy chọn cho người dùng.</t>
  </si>
  <si>
    <t>3. Nhận đầu vào từ người dùng</t>
  </si>
  <si>
    <r>
      <t xml:space="preserve">Sử dụng </t>
    </r>
    <r>
      <rPr>
        <sz val="10"/>
        <color rgb="FF000000"/>
        <rFont val="Arial Unicode MS"/>
      </rPr>
      <t>Scanner</t>
    </r>
    <r>
      <rPr>
        <sz val="10"/>
        <color rgb="FF000000"/>
        <rFont val="Arial"/>
        <family val="2"/>
        <scheme val="minor"/>
      </rPr>
      <t xml:space="preserve"> để đọc lựa chọn từ bàn phím.</t>
    </r>
  </si>
  <si>
    <t>4. Xử lý lựa chọn</t>
  </si>
  <si>
    <r>
      <t xml:space="preserve">Dùng </t>
    </r>
    <r>
      <rPr>
        <sz val="10"/>
        <color rgb="FF000000"/>
        <rFont val="Arial Unicode MS"/>
      </rPr>
      <t>switch-case</t>
    </r>
    <r>
      <rPr>
        <sz val="10"/>
        <color rgb="FF000000"/>
        <rFont val="Arial"/>
        <family val="2"/>
        <scheme val="minor"/>
      </rPr>
      <t xml:space="preserve"> hoặc </t>
    </r>
    <r>
      <rPr>
        <sz val="10"/>
        <color rgb="FF000000"/>
        <rFont val="Arial Unicode MS"/>
      </rPr>
      <t>if-else</t>
    </r>
    <r>
      <rPr>
        <sz val="10"/>
        <color rgb="FF000000"/>
        <rFont val="Arial"/>
        <family val="2"/>
        <scheme val="minor"/>
      </rPr>
      <t xml:space="preserve"> để thực hiện hành động tương ứng.</t>
    </r>
  </si>
  <si>
    <t>5. Lặp lại cho đến khi thoát</t>
  </si>
  <si>
    <r>
      <t>Bao toàn bộ logic trong vòng lặp (</t>
    </r>
    <r>
      <rPr>
        <sz val="10"/>
        <color rgb="FF000000"/>
        <rFont val="Arial Unicode MS"/>
      </rPr>
      <t>do-while</t>
    </r>
    <r>
      <rPr>
        <sz val="10"/>
        <color rgb="FF000000"/>
        <rFont val="Arial"/>
        <family val="2"/>
        <scheme val="minor"/>
      </rPr>
      <t xml:space="preserve"> hoặc </t>
    </r>
    <r>
      <rPr>
        <sz val="10"/>
        <color rgb="FF000000"/>
        <rFont val="Arial Unicode MS"/>
      </rPr>
      <t>while</t>
    </r>
    <r>
      <rPr>
        <sz val="10"/>
        <color rgb="FF000000"/>
        <rFont val="Arial"/>
        <family val="2"/>
        <scheme val="minor"/>
      </rPr>
      <t>) để cho phép người dùng tương tác nhiều lần.</t>
    </r>
  </si>
  <si>
    <t>6. Xử lý lỗi nhập liệu</t>
  </si>
  <si>
    <t>Kiểm tra đầu vào có hợp lệ không và thông báo nếu người dùng nhập sai.</t>
  </si>
  <si>
    <t>7. Kết thúc chương trình</t>
  </si>
  <si>
    <r>
      <t>Khi người dùng chọn thoát, đóng tài nguyên (</t>
    </r>
    <r>
      <rPr>
        <sz val="10"/>
        <color rgb="FF000000"/>
        <rFont val="Arial Unicode MS"/>
      </rPr>
      <t>scanner</t>
    </r>
    <r>
      <rPr>
        <sz val="10"/>
        <color rgb="FF000000"/>
        <rFont val="Arial"/>
        <family val="2"/>
        <scheme val="minor"/>
      </rPr>
      <t>) và kết thúc chương trình.</t>
    </r>
  </si>
  <si>
    <t>Nếu bạn định xây dựng hệ thống menu phức tạp hơn, thì có thể tách logic ra nhiều phương thức, hoặc phân chia thành các lớp riêng biệt. Muốn mình giúp bạn phác họa một thiết kế như vậy không? 💡</t>
  </si>
  <si>
    <r>
      <t xml:space="preserve">Tuyệt vời! Dưới đây là bảng tổng hợp các </t>
    </r>
    <r>
      <rPr>
        <b/>
        <sz val="10"/>
        <color rgb="FF000000"/>
        <rFont val="Arial"/>
        <family val="2"/>
        <scheme val="minor"/>
      </rPr>
      <t>thuật toán thường gặp</t>
    </r>
    <r>
      <rPr>
        <sz val="10"/>
        <color rgb="FF000000"/>
        <rFont val="Arial"/>
        <family val="2"/>
        <scheme val="minor"/>
      </rPr>
      <t xml:space="preserve"> trong quá trình phân tích nghiệp vụ, được thiết kế riêng dành cho người làm </t>
    </r>
    <r>
      <rPr>
        <b/>
        <sz val="10"/>
        <color rgb="FF000000"/>
        <rFont val="Arial"/>
        <family val="2"/>
        <scheme val="minor"/>
      </rPr>
      <t>Business Analyst (BA)</t>
    </r>
    <r>
      <rPr>
        <sz val="10"/>
        <color rgb="FF000000"/>
        <rFont val="Arial"/>
        <family val="2"/>
        <scheme val="minor"/>
      </rPr>
      <t xml:space="preserve">. Không cần biết code, chỉ cần hiểu </t>
    </r>
    <r>
      <rPr>
        <b/>
        <sz val="10"/>
        <color rgb="FF000000"/>
        <rFont val="Arial"/>
        <family val="2"/>
        <scheme val="minor"/>
      </rPr>
      <t>ý tưởng</t>
    </r>
    <r>
      <rPr>
        <sz val="10"/>
        <color rgb="FF000000"/>
        <rFont val="Arial"/>
        <family val="2"/>
        <scheme val="minor"/>
      </rPr>
      <t xml:space="preserve">, </t>
    </r>
    <r>
      <rPr>
        <b/>
        <sz val="10"/>
        <color rgb="FF000000"/>
        <rFont val="Arial"/>
        <family val="2"/>
        <scheme val="minor"/>
      </rPr>
      <t>ứng dụng thực tế</t>
    </r>
    <r>
      <rPr>
        <sz val="10"/>
        <color rgb="FF000000"/>
        <rFont val="Arial"/>
        <family val="2"/>
        <scheme val="minor"/>
      </rPr>
      <t xml:space="preserve"> và </t>
    </r>
    <r>
      <rPr>
        <b/>
        <sz val="10"/>
        <color rgb="FF000000"/>
        <rFont val="Arial"/>
        <family val="2"/>
        <scheme val="minor"/>
      </rPr>
      <t>các thư viện hỗ trợ</t>
    </r>
    <r>
      <rPr>
        <sz val="10"/>
        <color rgb="FF000000"/>
        <rFont val="Arial"/>
        <family val="2"/>
        <scheme val="minor"/>
      </rPr>
      <t xml:space="preserve"> là bạn đã có lợi thế cực lớn rồi 📈📊</t>
    </r>
  </si>
  <si>
    <t>🧠 Bảng thuật toán dành cho BA</t>
  </si>
  <si>
    <t>Thuật toán / Logic xử lý</t>
  </si>
  <si>
    <t>Ý tưởng chính</t>
  </si>
  <si>
    <t>Ứng dụng nghiệp vụ</t>
  </si>
  <si>
    <t>Thư viện Java thường dùng</t>
  </si>
  <si>
    <r>
      <t>Sorting</t>
    </r>
    <r>
      <rPr>
        <sz val="10"/>
        <color rgb="FF000000"/>
        <rFont val="Arial"/>
        <family val="2"/>
        <scheme val="minor"/>
      </rPr>
      <t xml:space="preserve"> (sắp xếp)</t>
    </r>
  </si>
  <si>
    <t>Sắp xếp danh sách theo tiêu chí</t>
  </si>
  <si>
    <t>Sắp xếp danh sách sản phẩm, báo cáo doanh số</t>
  </si>
  <si>
    <r>
      <t>Collections.sort()</t>
    </r>
    <r>
      <rPr>
        <sz val="10"/>
        <color rgb="FF000000"/>
        <rFont val="Arial"/>
        <family val="2"/>
        <scheme val="minor"/>
      </rPr>
      <t xml:space="preserve">, </t>
    </r>
    <r>
      <rPr>
        <sz val="10"/>
        <color rgb="FF000000"/>
        <rFont val="Arial Unicode MS"/>
      </rPr>
      <t>Comparator</t>
    </r>
  </si>
  <si>
    <r>
      <t>Searching</t>
    </r>
    <r>
      <rPr>
        <sz val="10"/>
        <color rgb="FF000000"/>
        <rFont val="Arial"/>
        <family val="2"/>
        <scheme val="minor"/>
      </rPr>
      <t xml:space="preserve"> (tìm kiếm)</t>
    </r>
  </si>
  <si>
    <t>Tìm phần tử trong danh sách</t>
  </si>
  <si>
    <t>Tìm đơn hàng theo mã, tìm khách theo tên</t>
  </si>
  <si>
    <r>
      <t>List.indexOf()</t>
    </r>
    <r>
      <rPr>
        <sz val="10"/>
        <color rgb="FF000000"/>
        <rFont val="Arial"/>
        <family val="2"/>
        <scheme val="minor"/>
      </rPr>
      <t xml:space="preserve">, </t>
    </r>
    <r>
      <rPr>
        <sz val="10"/>
        <color rgb="FF000000"/>
        <rFont val="Arial Unicode MS"/>
      </rPr>
      <t>Stream.filter()</t>
    </r>
  </si>
  <si>
    <r>
      <t>Grouping</t>
    </r>
    <r>
      <rPr>
        <sz val="10"/>
        <color rgb="FF000000"/>
        <rFont val="Arial"/>
        <family val="2"/>
        <scheme val="minor"/>
      </rPr>
      <t xml:space="preserve"> (gộp theo nhóm)</t>
    </r>
  </si>
  <si>
    <t>Gộp dữ liệu theo tiêu chí</t>
  </si>
  <si>
    <t>Tổng hợp số liệu theo tháng, nhóm theo khu vực</t>
  </si>
  <si>
    <t>Collectors.groupingBy()</t>
  </si>
  <si>
    <t>Counting Frequency</t>
  </si>
  <si>
    <t>Đếm số lần xuất hiện của phần tử</t>
  </si>
  <si>
    <t>Tìm sản phẩm bán nhiều nhất, lỗi phổ biến</t>
  </si>
  <si>
    <r>
      <t>Map</t>
    </r>
    <r>
      <rPr>
        <sz val="10"/>
        <color rgb="FF000000"/>
        <rFont val="Arial"/>
        <family val="2"/>
        <scheme val="minor"/>
      </rPr>
      <t xml:space="preserve">, </t>
    </r>
    <r>
      <rPr>
        <sz val="10"/>
        <color rgb="FF000000"/>
        <rFont val="Arial Unicode MS"/>
      </rPr>
      <t>HashMap</t>
    </r>
  </si>
  <si>
    <r>
      <t>Filtering</t>
    </r>
    <r>
      <rPr>
        <sz val="10"/>
        <color rgb="FF000000"/>
        <rFont val="Arial"/>
        <family val="2"/>
        <scheme val="minor"/>
      </rPr>
      <t xml:space="preserve"> (lọc)</t>
    </r>
  </si>
  <si>
    <t>Loại bỏ phần tử không thỏa điều kiện</t>
  </si>
  <si>
    <t>Lọc hóa đơn trên 10 triệu, khách VIP</t>
  </si>
  <si>
    <t>Stream.filter()</t>
  </si>
  <si>
    <r>
      <t>Aggregation</t>
    </r>
    <r>
      <rPr>
        <sz val="10"/>
        <color rgb="FF000000"/>
        <rFont val="Arial"/>
        <family val="2"/>
        <scheme val="minor"/>
      </rPr>
      <t xml:space="preserve"> (tổng hợp số liệu)</t>
    </r>
  </si>
  <si>
    <t>Tính tổng, trung bình, min/max</t>
  </si>
  <si>
    <t>Báo cáo doanh thu, chỉ số KPI, giá trị trung bình</t>
  </si>
  <si>
    <t>Collectors.summarizingInt()</t>
  </si>
  <si>
    <r>
      <t>Recursion</t>
    </r>
    <r>
      <rPr>
        <sz val="10"/>
        <color rgb="FF000000"/>
        <rFont val="Arial"/>
        <family val="2"/>
        <scheme val="minor"/>
      </rPr>
      <t xml:space="preserve"> (đệ quy)</t>
    </r>
  </si>
  <si>
    <t>Hàm gọi lại chính nó để xử lý</t>
  </si>
  <si>
    <t>Duyệt cây danh mục, cấu trúc dữ liệu phân cấp</t>
  </si>
  <si>
    <t>Không thường dùng trực tiếp</t>
  </si>
  <si>
    <t>Matching / Comparison</t>
  </si>
  <si>
    <t>So sánh dữ liệu, tìm phần tử phù hợp</t>
  </si>
  <si>
    <t>So sánh giá sản phẩm, kiểm tra trùng thông tin</t>
  </si>
  <si>
    <r>
      <t>equals()</t>
    </r>
    <r>
      <rPr>
        <sz val="10"/>
        <color rgb="FF000000"/>
        <rFont val="Arial"/>
        <family val="2"/>
        <scheme val="minor"/>
      </rPr>
      <t xml:space="preserve">, </t>
    </r>
    <r>
      <rPr>
        <sz val="10"/>
        <color rgb="FF000000"/>
        <rFont val="Arial Unicode MS"/>
      </rPr>
      <t>compareTo()</t>
    </r>
  </si>
  <si>
    <t>📌 Gợi ý cách học:</t>
  </si>
  <si>
    <r>
      <t xml:space="preserve">📚 </t>
    </r>
    <r>
      <rPr>
        <b/>
        <sz val="10"/>
        <color rgb="FF000000"/>
        <rFont val="Arial"/>
        <family val="2"/>
        <scheme val="minor"/>
      </rPr>
      <t>Hiểu qua ví dụ nghiệp vụ thực tế</t>
    </r>
    <r>
      <rPr>
        <sz val="10"/>
        <color rgb="FF000000"/>
        <rFont val="Arial"/>
        <family val="2"/>
        <scheme val="minor"/>
      </rPr>
      <t xml:space="preserve">: ví dụ như bạn có file Excel doanh thu, cần lọc theo tháng và sắp xếp theo sản phẩm bán chạy → ứng dụng </t>
    </r>
    <r>
      <rPr>
        <sz val="10"/>
        <color rgb="FF000000"/>
        <rFont val="Arial Unicode MS"/>
      </rPr>
      <t>filter + group + sort</t>
    </r>
    <r>
      <rPr>
        <sz val="10"/>
        <color rgb="FF000000"/>
        <rFont val="Arial"/>
        <family val="2"/>
        <scheme val="minor"/>
      </rPr>
      <t>.</t>
    </r>
  </si>
  <si>
    <r>
      <t xml:space="preserve">🗺️ </t>
    </r>
    <r>
      <rPr>
        <b/>
        <sz val="10"/>
        <color rgb="FF000000"/>
        <rFont val="Arial"/>
        <family val="2"/>
        <scheme val="minor"/>
      </rPr>
      <t>Vẽ sơ đồ luồng xử lý</t>
    </r>
    <r>
      <rPr>
        <sz val="10"/>
        <color rgb="FF000000"/>
        <rFont val="Arial"/>
        <family val="2"/>
        <scheme val="minor"/>
      </rPr>
      <t>: để hiểu dữ liệu đi từ đâu đến đâu, khi nào lọc, khi nào sắp xếp...</t>
    </r>
  </si>
  <si>
    <r>
      <t xml:space="preserve">💬 </t>
    </r>
    <r>
      <rPr>
        <b/>
        <sz val="10"/>
        <color rgb="FF000000"/>
        <rFont val="Arial"/>
        <family val="2"/>
        <scheme val="minor"/>
      </rPr>
      <t>Trao đổi với dev</t>
    </r>
    <r>
      <rPr>
        <sz val="10"/>
        <color rgb="FF000000"/>
        <rFont val="Arial"/>
        <family val="2"/>
        <scheme val="minor"/>
      </rPr>
      <t xml:space="preserve"> bằng ngôn ngữ chung: “Dữ liệu này cần group theo tháng rồi sort giảm dần theo doanh thu” → sẽ rất dễ hiểu!</t>
    </r>
  </si>
  <si>
    <t>Nếu bạn muốn, mình có thể giúp bạn tạo một sơ đồ luồng xử lý cho một case thực tế (ví dụ: báo cáo KPI hàng tháng, dashboard khách hàng tiềm năng...). Bạn có tình huống nào đang phân tích không? Mình sẽ biến nó thành phiên bản dễ hiểu cho BA ngay 😄✨</t>
  </si>
  <si>
    <t xml:space="preserve">public class SearchingExample {
    public static boolean linearSearch(int[] arr, int target) {
        for (int num : arr) {
            if (num == target) return true;
        }
        return false;
    }
    public static void main(String[] args) {
        int[] data = {3, 7, 1, 9};
        System.out.println(linearSearch(data, 7)); // true
    }
}
</t>
  </si>
  <si>
    <t xml:space="preserve">public class Sorting {
    public static void main(String[] args) {
        int[] arr = {5, 2, 9, 1, 6};
        for (int i = 0; i &lt; arr.length - 1; i++) {
            for (int j = 0; j &lt; arr.length - 1 - i; j++) {
                if (arr[j] &gt; arr[j + 1]) {
                    // Hoán đổi
                    int temp = arr[j];
                    arr[j] = arr[j + 1];
                    arr[j + 1] = temp;
                }
            }
        }
        for (int num : arr) {
            System.out.print(num + " ");
        }
    }
}
</t>
  </si>
  <si>
    <t xml:space="preserve">public class Grouping {
    public static void main(String[] args) {
        String[] words = {"cat", "dog", "apple", "bat", "car"};
        for (int len = 1; len &lt;= 10; len++) {
            System.out.print("Length " + len + ": ");
            for (int i = 0; i &lt; words.length; i++) {
                if (words[i].length() == len) {
                    System.out.print(words[i] + " ");
                }
            }
            System.out.println();
        }
    }
}
</t>
  </si>
  <si>
    <t>public class Frequency {
    public static void main(String[] args) {
        String text = "banana";
        for (char c = 'a'; c &lt;= 'z'; c++) {
            int count = 0;
            for (int i = 0; i &lt; text.length(); i++) {
                if (text.charAt(i) == c) {
                    count++;
                }
            }
            if (count &gt; 0) {
                System.out.println(c + ": " + count);
            }
        }
    }
}</t>
  </si>
  <si>
    <t>public class Filtering {
    public static void main(String[] args) {
        int[] arr = {1, 2, 3, 4, 5, 6};
        for (int i = 0; i &lt; arr.length; i++) {
            if (arr[i] % 2 == 0) {
                System.out.print(arr[i] + " ");
            }
        }
    }
}</t>
  </si>
  <si>
    <t xml:space="preserve">public class Aggregation {
    public static void main(String[] args) {
        int[] arr = {10, 20, 30};
        int sum = 0;
        for (int i = 0; i &lt; arr.length; i++) {
            sum += arr[i];
        }
        System.out.println("Sum = " + sum);
    }
}
</t>
  </si>
  <si>
    <t xml:space="preserve">public class Recursion {
    public static int factorial(int n) {
        if (n &lt;= 1) return 1;
        else return n * factorial(n - 1);
    }
    public static void main(String[] args) {
        System.out.println(factorial(5)); // 120
    }
}
</t>
  </si>
  <si>
    <t xml:space="preserve">public class Comparison {
    public static void main(String[] args) {
        String a = "hello";
        String b = "hello";
        boolean match = true;
        if (a.length() != b.length()) {
            match = false;
        } else {
            for (int i = 0; i &lt; a.length(); i++) {
                if (a.charAt(i) != b.charAt(i)) {
                    match = false;
                    break;
                }
            }
        }
        if (match) {
            System.out.println("Strings match");
        } else {
            System.out.println("Strings do not match");
        }
    }
}
</t>
  </si>
  <si>
    <t>So sánh giữa 2 data về 1 thuộc tính nào đó. 
Sử dụng 1 biến boolen trung gian để trả về true,false với mỗi 1 thuộc tính match nhau
--&gt; So sánh nhiều thuộc tính. Match được define là giống bnhieu/bnhieu</t>
  </si>
  <si>
    <t>配列で定義したランダムな値をバブルソートで昇順に並び替えるサンプルです。</t>
  </si>
  <si>
    <t>Xác định 1 thuộc tính chung của các element trong list. 
Loop và iff để phân tách thành các list con theo dkien
-&gt; bản chất tạo ra mảng mới theo nhóm</t>
  </si>
  <si>
    <t>Sử dụng 1 biến tạm int count=0
Mỗi lần đáp ứng dkien thì cộng vào biến đó. 
Sử dụng biến tạm đó</t>
  </si>
  <si>
    <t>là cái for và if hay dùng. 
Chỉ nên có 1 if thôi. 
Nếu mà có xdinh dùng elsse thì phải nghĩ tới thuật toán khác
--&gt; trả về 1 mảng theo dkien</t>
  </si>
  <si>
    <t>DÙng 1 biến tạm, thuộc tính cần tổng hợp sẽ cộng hoặc trừ vào biến tạm đó. 
Sử dụng biến tạm</t>
  </si>
  <si>
    <t xml:space="preserve">1.  Đệ quy (recursion) là kỹ thuật trong lập trình khi một hàm tự gọi lại chính nó để giải quyết một bài toán. Thay vì giải quyết toàn bộ bài toán một lần, đệ quy chia nhỏ bài toán thành các phần đơn giản hơn, cho đến khi đạt đến điểm dừng (base case).
📌 Ví dụ đơn giản: Muốn tính tổng từ 1 đến 5: Ta có thể viết: sum(5) = 5 + sum(4) sum(4) = 4 + sum(3) ... sum(1) = 1 → đây là điểm dừng.
2. Giai thừa của một số nguyên dương n, ký hiệu là n!, là tích của tất cả các số nguyên từ 1 đến n.
5!=5×4×3×2×1--&gt; kết quả giai thừa 5 là 120
3. Bạn có 4 người bạn, và muốn biết có bao nhiêu cách sắp xếp họ ngồi quanh bàn. → Số cách sắp xếp là 4! = 24 cách
4.   Code: Code gọi lại chính function đó điều kiện dừng là điểm dừng. if() return break point. Else chạy chính code đó. </t>
  </si>
  <si>
    <r>
      <t xml:space="preserve">Câu hỏi rất hay! Việc </t>
    </r>
    <r>
      <rPr>
        <b/>
        <sz val="10"/>
        <color rgb="FF000000"/>
        <rFont val="Arial"/>
        <family val="2"/>
        <scheme val="minor"/>
      </rPr>
      <t xml:space="preserve">không dùng </t>
    </r>
    <r>
      <rPr>
        <b/>
        <sz val="10"/>
        <color rgb="FF000000"/>
        <rFont val="Arial Unicode MS"/>
      </rPr>
      <t>else</t>
    </r>
    <r>
      <rPr>
        <sz val="10"/>
        <color rgb="FF000000"/>
        <rFont val="Arial"/>
        <family val="2"/>
        <scheme val="minor"/>
      </rPr>
      <t xml:space="preserve"> trong đoạn mã này không chỉ là hợp lý mà còn là một </t>
    </r>
    <r>
      <rPr>
        <b/>
        <sz val="10"/>
        <color rgb="FF000000"/>
        <rFont val="Arial"/>
        <family val="2"/>
        <scheme val="minor"/>
      </rPr>
      <t>phong cách viết mã tốt</t>
    </r>
    <r>
      <rPr>
        <sz val="10"/>
        <color rgb="FF000000"/>
        <rFont val="Arial"/>
        <family val="2"/>
        <scheme val="minor"/>
      </rPr>
      <t xml:space="preserve"> trong lập trình — gọi là </t>
    </r>
    <r>
      <rPr>
        <b/>
        <sz val="10"/>
        <color rgb="FF000000"/>
        <rFont val="Arial"/>
        <family val="2"/>
        <scheme val="minor"/>
      </rPr>
      <t>early return</t>
    </r>
    <r>
      <rPr>
        <sz val="10"/>
        <color rgb="FF000000"/>
        <rFont val="Arial"/>
        <family val="2"/>
        <scheme val="minor"/>
      </rPr>
      <t>. Cùng phân tích kỹ nhé:</t>
    </r>
  </si>
  <si>
    <t>✅ Đoạn mã bạn đưa ra</t>
  </si>
  <si>
    <t>public void addNew(USER user){</t>
  </si>
  <si>
    <t xml:space="preserve">    if (this.checkUser(user.getId())) {</t>
  </si>
  <si>
    <t xml:space="preserve">        System.out.println("User has already added before");</t>
  </si>
  <si>
    <t xml:space="preserve">        return;</t>
  </si>
  <si>
    <t xml:space="preserve">    }</t>
  </si>
  <si>
    <t xml:space="preserve">    this.listUser.add(user);</t>
  </si>
  <si>
    <r>
      <t xml:space="preserve">🔍 Tại sao không cần </t>
    </r>
    <r>
      <rPr>
        <b/>
        <sz val="10"/>
        <color rgb="FF000000"/>
        <rFont val="Arial Unicode MS"/>
      </rPr>
      <t>else</t>
    </r>
    <r>
      <rPr>
        <b/>
        <sz val="18"/>
        <color rgb="FF000000"/>
        <rFont val="Arial"/>
        <family val="2"/>
        <scheme val="minor"/>
      </rPr>
      <t>?</t>
    </r>
  </si>
  <si>
    <t>1. Early return giúp kết thúc sớm</t>
  </si>
  <si>
    <r>
      <t xml:space="preserve">Khi </t>
    </r>
    <r>
      <rPr>
        <sz val="10"/>
        <color rgb="FF000000"/>
        <rFont val="Arial Unicode MS"/>
      </rPr>
      <t>checkUser(user.getId())</t>
    </r>
    <r>
      <rPr>
        <sz val="10"/>
        <color rgb="FF000000"/>
        <rFont val="Arial"/>
        <family val="2"/>
        <scheme val="minor"/>
      </rPr>
      <t xml:space="preserve"> trả về </t>
    </r>
    <r>
      <rPr>
        <sz val="10"/>
        <color rgb="FF000000"/>
        <rFont val="Arial Unicode MS"/>
      </rPr>
      <t>true</t>
    </r>
    <r>
      <rPr>
        <sz val="10"/>
        <color rgb="FF000000"/>
        <rFont val="Arial"/>
        <family val="2"/>
        <scheme val="minor"/>
      </rPr>
      <t xml:space="preserve">, tức là user đã tồn tại → in thông báo → </t>
    </r>
    <r>
      <rPr>
        <sz val="10"/>
        <color rgb="FF000000"/>
        <rFont val="Arial Unicode MS"/>
      </rPr>
      <t>return</t>
    </r>
    <r>
      <rPr>
        <sz val="10"/>
        <color rgb="FF000000"/>
        <rFont val="Arial"/>
        <family val="2"/>
        <scheme val="minor"/>
      </rPr>
      <t xml:space="preserve"> kết thúc phương thức.</t>
    </r>
  </si>
  <si>
    <r>
      <t xml:space="preserve">Vì phương thức đã </t>
    </r>
    <r>
      <rPr>
        <b/>
        <sz val="10"/>
        <color rgb="FF000000"/>
        <rFont val="Arial"/>
        <family val="2"/>
        <scheme val="minor"/>
      </rPr>
      <t>thoát ra ngay tại đó</t>
    </r>
    <r>
      <rPr>
        <sz val="10"/>
        <color rgb="FF000000"/>
        <rFont val="Arial"/>
        <family val="2"/>
        <scheme val="minor"/>
      </rPr>
      <t xml:space="preserve">, nên </t>
    </r>
    <r>
      <rPr>
        <b/>
        <sz val="10"/>
        <color rgb="FF000000"/>
        <rFont val="Arial"/>
        <family val="2"/>
        <scheme val="minor"/>
      </rPr>
      <t xml:space="preserve">không cần </t>
    </r>
    <r>
      <rPr>
        <b/>
        <sz val="10"/>
        <color rgb="FF000000"/>
        <rFont val="Arial Unicode MS"/>
      </rPr>
      <t>else</t>
    </r>
    <r>
      <rPr>
        <sz val="10"/>
        <color rgb="FF000000"/>
        <rFont val="Arial"/>
        <family val="2"/>
        <scheme val="minor"/>
      </rPr>
      <t xml:space="preserve"> để bao bọc phần còn lại.</t>
    </r>
  </si>
  <si>
    <t>2. Giúp mã ngắn gọn và dễ đọc</t>
  </si>
  <si>
    <r>
      <t xml:space="preserve">Tránh lồng </t>
    </r>
    <r>
      <rPr>
        <sz val="10"/>
        <color rgb="FF000000"/>
        <rFont val="Arial Unicode MS"/>
      </rPr>
      <t>if-else</t>
    </r>
    <r>
      <rPr>
        <sz val="10"/>
        <color rgb="FF000000"/>
        <rFont val="Arial"/>
        <family val="2"/>
        <scheme val="minor"/>
      </rPr>
      <t xml:space="preserve">, giúp luồng xử lý </t>
    </r>
    <r>
      <rPr>
        <b/>
        <sz val="10"/>
        <color rgb="FF000000"/>
        <rFont val="Arial"/>
        <family val="2"/>
        <scheme val="minor"/>
      </rPr>
      <t>thẳng và rõ ràng</t>
    </r>
    <r>
      <rPr>
        <sz val="10"/>
        <color rgb="FF000000"/>
        <rFont val="Arial"/>
        <family val="2"/>
        <scheme val="minor"/>
      </rPr>
      <t>.</t>
    </r>
  </si>
  <si>
    <t>Người đọc dễ hiểu: nếu điều kiện sai → tiếp tục xử lý.</t>
  </si>
  <si>
    <t>3. Clean code – nguyên tắc “fail fast”</t>
  </si>
  <si>
    <r>
      <t xml:space="preserve">Nếu có điều kiện không hợp lệ, xử lý ngay và </t>
    </r>
    <r>
      <rPr>
        <b/>
        <sz val="10"/>
        <color rgb="FF000000"/>
        <rFont val="Arial"/>
        <family val="2"/>
        <scheme val="minor"/>
      </rPr>
      <t>thoát sớm</t>
    </r>
    <r>
      <rPr>
        <sz val="10"/>
        <color rgb="FF000000"/>
        <rFont val="Arial"/>
        <family val="2"/>
        <scheme val="minor"/>
      </rPr>
      <t>.</t>
    </r>
  </si>
  <si>
    <t>Giúp giảm độ sâu của khối lệnh, tránh “code thụt vào” quá nhiều.</t>
  </si>
  <si>
    <r>
      <t xml:space="preserve">📊 So sánh: Có </t>
    </r>
    <r>
      <rPr>
        <b/>
        <sz val="10"/>
        <color rgb="FF000000"/>
        <rFont val="Arial Unicode MS"/>
      </rPr>
      <t>else</t>
    </r>
    <r>
      <rPr>
        <b/>
        <sz val="18"/>
        <color rgb="FF000000"/>
        <rFont val="Arial"/>
        <family val="2"/>
        <scheme val="minor"/>
      </rPr>
      <t xml:space="preserve"> vs Không </t>
    </r>
    <r>
      <rPr>
        <b/>
        <sz val="10"/>
        <color rgb="FF000000"/>
        <rFont val="Arial Unicode MS"/>
      </rPr>
      <t>else</t>
    </r>
  </si>
  <si>
    <t>Tiêu chí</t>
  </si>
  <si>
    <r>
      <t xml:space="preserve">Dùng </t>
    </r>
    <r>
      <rPr>
        <b/>
        <sz val="10"/>
        <color rgb="FF000000"/>
        <rFont val="Arial Unicode MS"/>
      </rPr>
      <t>else</t>
    </r>
  </si>
  <si>
    <r>
      <t xml:space="preserve">Không dùng </t>
    </r>
    <r>
      <rPr>
        <b/>
        <sz val="10"/>
        <color rgb="FF000000"/>
        <rFont val="Arial Unicode MS"/>
      </rPr>
      <t>else</t>
    </r>
    <r>
      <rPr>
        <b/>
        <sz val="10"/>
        <color rgb="FF000000"/>
        <rFont val="Arial"/>
        <family val="2"/>
        <scheme val="minor"/>
      </rPr>
      <t xml:space="preserve"> (early return)</t>
    </r>
  </si>
  <si>
    <t>Độ dài mã</t>
  </si>
  <si>
    <t>Dài hơn</t>
  </si>
  <si>
    <t>Ngắn gọn hơn</t>
  </si>
  <si>
    <t>Độ sâu khối lệnh</t>
  </si>
  <si>
    <r>
      <t xml:space="preserve">Có thể lồng nhiều </t>
    </r>
    <r>
      <rPr>
        <sz val="10"/>
        <color rgb="FF000000"/>
        <rFont val="Arial Unicode MS"/>
      </rPr>
      <t>if-else</t>
    </r>
  </si>
  <si>
    <t>Tránh lồng, luồng xử lý thẳng</t>
  </si>
  <si>
    <t>Dễ đọc</t>
  </si>
  <si>
    <t>Có thể rõ ràng nếu ít điều kiện</t>
  </si>
  <si>
    <t>Rất rõ ràng khi có nhiều điều kiện</t>
  </si>
  <si>
    <t>Phong cách hiện đại</t>
  </si>
  <si>
    <t>Ít dùng hơn</t>
  </si>
  <si>
    <t>Được khuyến khích trong clean code</t>
  </si>
  <si>
    <t>💡 Ví dụ mở rộng</t>
  </si>
  <si>
    <r>
      <t xml:space="preserve">Nếu có nhiều điều kiện kiểm tra, </t>
    </r>
    <r>
      <rPr>
        <b/>
        <sz val="10"/>
        <color rgb="FF000000"/>
        <rFont val="Arial"/>
        <family val="2"/>
        <scheme val="minor"/>
      </rPr>
      <t>early return</t>
    </r>
    <r>
      <rPr>
        <sz val="10"/>
        <color rgb="FF000000"/>
        <rFont val="Arial"/>
        <family val="2"/>
        <scheme val="minor"/>
      </rPr>
      <t xml:space="preserve"> sẽ giúp mã dễ đọc hơn:</t>
    </r>
  </si>
  <si>
    <t>public void process(USER user){</t>
  </si>
  <si>
    <t xml:space="preserve">    if (user == null) {</t>
  </si>
  <si>
    <t xml:space="preserve">        System.out.println("User is null");</t>
  </si>
  <si>
    <t xml:space="preserve">    if (checkUser(user.getId())) {</t>
  </si>
  <si>
    <t xml:space="preserve">        System.out.println("User already exists");</t>
  </si>
  <si>
    <t xml:space="preserve">    if (!isValid(user)) {</t>
  </si>
  <si>
    <t xml:space="preserve">        System.out.println("User is invalid");</t>
  </si>
  <si>
    <t>✅ Kết luận</t>
  </si>
  <si>
    <r>
      <t xml:space="preserve">Không dùng </t>
    </r>
    <r>
      <rPr>
        <sz val="10"/>
        <color rgb="FF000000"/>
        <rFont val="Arial Unicode MS"/>
      </rPr>
      <t>else</t>
    </r>
    <r>
      <rPr>
        <sz val="10"/>
        <color rgb="FF000000"/>
        <rFont val="Arial"/>
        <family val="2"/>
        <scheme val="minor"/>
      </rPr>
      <t xml:space="preserve"> ở đây là </t>
    </r>
    <r>
      <rPr>
        <b/>
        <sz val="10"/>
        <color rgb="FF000000"/>
        <rFont val="Arial"/>
        <family val="2"/>
        <scheme val="minor"/>
      </rPr>
      <t>hoàn toàn đúng</t>
    </r>
    <r>
      <rPr>
        <sz val="10"/>
        <color rgb="FF000000"/>
        <rFont val="Arial"/>
        <family val="2"/>
        <scheme val="minor"/>
      </rPr>
      <t xml:space="preserve"> và còn là </t>
    </r>
    <r>
      <rPr>
        <b/>
        <sz val="10"/>
        <color rgb="FF000000"/>
        <rFont val="Arial"/>
        <family val="2"/>
        <scheme val="minor"/>
      </rPr>
      <t>cách viết tốt hơn</t>
    </r>
    <r>
      <rPr>
        <sz val="10"/>
        <color rgb="FF000000"/>
        <rFont val="Arial"/>
        <family val="2"/>
        <scheme val="minor"/>
      </rPr>
      <t xml:space="preserve"> trong nhiều trường hợp.</t>
    </r>
  </si>
  <si>
    <t>Nó giúp:</t>
  </si>
  <si>
    <t>Giảm độ phức tạp</t>
  </si>
  <si>
    <t>Tăng khả năng đọc</t>
  </si>
  <si>
    <t>Dễ bảo trì</t>
  </si>
  <si>
    <t>Bạn có muốn mình chia sẻ thêm về các nguyên tắc clean code như "Single Responsibility", "Don't Repeat Yourself", hay "Code Smells"?</t>
  </si>
  <si>
    <t>Sử dụng 1 biến tạm boolean để kiểm tra có tồn tại trong list không?
Có thì xử lý tnao?
Không thì xxwr lý tnao
Ngoài boolean thì search còn có thể dùng int index; 
Nếu có thì trả về index. Còn không thì trả về index âm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</si>
</sst>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4">
    <font>
      <sz val="10"/>
      <color rgb="FF000000"/>
      <name val="Arial"/>
      <scheme val="minor"/>
    </font>
    <font>
      <sz val="31"/>
      <color theme="1"/>
      <name val="Arial"/>
    </font>
    <font>
      <sz val="11"/>
      <color theme="1"/>
      <name val="Arial"/>
    </font>
    <font>
      <b/>
      <sz val="11"/>
      <color theme="1"/>
      <name val="Arial"/>
    </font>
    <font>
      <u/>
      <sz val="11"/>
      <color rgb="FF0000FF"/>
      <name val="Arial"/>
    </font>
    <font>
      <sz val="11"/>
      <color rgb="FF000000"/>
      <name val="&quot;Open Sans&quot;"/>
    </font>
    <font>
      <b/>
      <sz val="10"/>
      <color theme="1"/>
      <name val="Arial"/>
      <scheme val="minor"/>
    </font>
    <font>
      <sz val="10"/>
      <color theme="1"/>
      <name val="Arial"/>
      <scheme val="minor"/>
    </font>
    <font>
      <sz val="11"/>
      <color rgb="FF949494"/>
      <name val="-apple-system"/>
    </font>
    <font>
      <u/>
      <sz val="11"/>
      <color rgb="FF000000"/>
      <name val="Arial"/>
    </font>
    <font>
      <u/>
      <sz val="11"/>
      <color rgb="FF000000"/>
      <name val="-apple-system"/>
    </font>
    <font>
      <sz val="10"/>
      <color rgb="FF000000"/>
      <name val="Arial"/>
      <scheme val="minor"/>
    </font>
    <font>
      <sz val="11"/>
      <color rgb="FF000000"/>
      <name val="-apple-system"/>
    </font>
    <font>
      <u/>
      <sz val="11"/>
      <color rgb="FF0000FF"/>
      <name val="Arial"/>
    </font>
    <font>
      <u/>
      <sz val="11"/>
      <color rgb="FF0000FF"/>
      <name val="Arial"/>
    </font>
    <font>
      <sz val="10"/>
      <color rgb="FF1155CC"/>
      <name val="Arial"/>
      <scheme val="minor"/>
    </font>
    <font>
      <u/>
      <sz val="11"/>
      <color rgb="FF000000"/>
      <name val="-apple-system"/>
    </font>
    <font>
      <sz val="10"/>
      <color rgb="FF000000"/>
      <name val="Arial"/>
    </font>
    <font>
      <u/>
      <sz val="11"/>
      <color theme="1"/>
      <name val="Arial"/>
    </font>
    <font>
      <u/>
      <sz val="11"/>
      <color theme="1"/>
      <name val="Arial"/>
    </font>
    <font>
      <sz val="11"/>
      <color rgb="FF000000"/>
      <name val="Arial"/>
    </font>
    <font>
      <u/>
      <sz val="10"/>
      <color rgb="FF0000FF"/>
      <name val="Arial"/>
    </font>
    <font>
      <b/>
      <sz val="31"/>
      <color theme="1"/>
      <name val="Times New Roman"/>
    </font>
    <font>
      <sz val="10"/>
      <color theme="1"/>
      <name val="Times New Roman"/>
    </font>
    <font>
      <b/>
      <sz val="14"/>
      <color theme="1"/>
      <name val="Times New Roman"/>
    </font>
    <font>
      <sz val="14"/>
      <color theme="1"/>
      <name val="Times New Roman"/>
    </font>
    <font>
      <sz val="12"/>
      <color theme="1"/>
      <name val="Times New Roman"/>
    </font>
    <font>
      <u/>
      <sz val="12"/>
      <color rgb="FF000000"/>
      <name val="Times New Roman"/>
    </font>
    <font>
      <sz val="11"/>
      <color theme="1"/>
      <name val="Times New Roman"/>
    </font>
    <font>
      <u/>
      <sz val="12"/>
      <color rgb="FF0000FF"/>
      <name val="Times New Roman"/>
    </font>
    <font>
      <u/>
      <sz val="11"/>
      <color rgb="FF000000"/>
      <name val="Times New Roman"/>
    </font>
    <font>
      <sz val="11"/>
      <color rgb="FF000000"/>
      <name val="Times New Roman"/>
    </font>
    <font>
      <i/>
      <sz val="11"/>
      <color rgb="FF000000"/>
      <name val="Times New Roman"/>
    </font>
    <font>
      <sz val="12"/>
      <color theme="1"/>
      <name val="Arial"/>
      <scheme val="minor"/>
    </font>
    <font>
      <sz val="12"/>
      <color rgb="FF081C36"/>
      <name val="Arial"/>
    </font>
    <font>
      <sz val="12"/>
      <color rgb="FF1F1F1F"/>
      <name val="&quot;Google Sans&quot;"/>
    </font>
    <font>
      <sz val="12"/>
      <color theme="1"/>
      <name val="Arial"/>
    </font>
    <font>
      <u/>
      <sz val="10"/>
      <color rgb="FF0000FF"/>
      <name val="Arial"/>
    </font>
    <font>
      <sz val="10"/>
      <name val="Arial"/>
    </font>
    <font>
      <i/>
      <sz val="10"/>
      <color theme="1"/>
      <name val="Arial"/>
      <scheme val="minor"/>
    </font>
    <font>
      <u/>
      <sz val="11"/>
      <color rgb="FF1155CC"/>
      <name val="Arial"/>
    </font>
    <font>
      <sz val="11"/>
      <name val="Arial"/>
    </font>
    <font>
      <sz val="11"/>
      <color rgb="FF0B5394"/>
      <name val="Arial"/>
    </font>
    <font>
      <i/>
      <sz val="10"/>
      <name val="Arial"/>
    </font>
    <font>
      <b/>
      <sz val="11"/>
      <name val="Arial"/>
    </font>
    <font>
      <sz val="12"/>
      <color rgb="FFFF0000"/>
      <name val="Times New Roman"/>
    </font>
    <font>
      <sz val="12"/>
      <color rgb="FF000000"/>
      <name val="Times New Roman"/>
    </font>
    <font>
      <u/>
      <sz val="12"/>
      <color rgb="FF1155CC"/>
      <name val="Times New Roman"/>
    </font>
    <font>
      <sz val="12"/>
      <name val="Times New Roman"/>
    </font>
    <font>
      <u/>
      <sz val="11"/>
      <color rgb="FF1155CC"/>
      <name val="Times New Roman"/>
    </font>
    <font>
      <b/>
      <i/>
      <sz val="11"/>
      <color theme="1"/>
      <name val="Times New Roman"/>
    </font>
    <font>
      <b/>
      <sz val="11"/>
      <color theme="1"/>
      <name val="Times New Roman"/>
    </font>
    <font>
      <i/>
      <sz val="11"/>
      <color rgb="FFCC0000"/>
      <name val="Times New Roman"/>
    </font>
    <font>
      <sz val="10"/>
      <color rgb="FF000000"/>
      <name val="Arial Unicode MS"/>
    </font>
    <font>
      <b/>
      <sz val="12"/>
      <color rgb="FF000000"/>
      <name val="Arial"/>
      <family val="2"/>
      <scheme val="minor"/>
    </font>
    <font>
      <b/>
      <sz val="13.5"/>
      <color rgb="FF000000"/>
      <name val="Arial"/>
      <family val="2"/>
      <scheme val="minor"/>
    </font>
    <font>
      <b/>
      <sz val="18"/>
      <color rgb="FF000000"/>
      <name val="Arial"/>
      <family val="2"/>
      <scheme val="minor"/>
    </font>
    <font>
      <b/>
      <sz val="10"/>
      <color rgb="FF000000"/>
      <name val="Arial"/>
      <family val="2"/>
      <scheme val="minor"/>
    </font>
    <font>
      <sz val="10"/>
      <color rgb="FF000000"/>
      <name val="Arial"/>
      <family val="2"/>
      <scheme val="minor"/>
    </font>
    <font>
      <i/>
      <sz val="10"/>
      <color rgb="FF000000"/>
      <name val="Arial"/>
      <family val="2"/>
      <scheme val="minor"/>
    </font>
    <font>
      <sz val="10"/>
      <color theme="1"/>
      <name val="Times New Roman"/>
      <family val="1"/>
    </font>
    <font>
      <sz val="10"/>
      <name val="Arial"/>
      <scheme val="minor"/>
    </font>
    <font>
      <sz val="10"/>
      <color rgb="FF1C4587"/>
      <name val="Arial"/>
      <scheme val="minor"/>
    </font>
    <font>
      <b/>
      <sz val="10"/>
      <color rgb="FF000000"/>
      <name val="Arial Unicode MS"/>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A4C2F4"/>
        <bgColor rgb="FFA4C2F4"/>
      </patternFill>
    </fill>
    <fill>
      <patternFill patternType="solid">
        <fgColor rgb="FFC9DAF8"/>
        <bgColor rgb="FFC9DAF8"/>
      </patternFill>
    </fill>
    <fill>
      <patternFill patternType="solid">
        <fgColor rgb="FFFFFF00"/>
        <bgColor indexed="64"/>
      </patternFill>
    </fill>
  </fills>
  <borders count="6">
    <border>
      <left/>
      <right/>
      <top/>
      <bottom/>
      <diagonal/>
    </border>
    <border>
      <left/>
      <right/>
      <top style="thin">
        <color rgb="FFE9ECE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8">
    <xf numFmtId="0" fontId="0" fillId="0" borderId="0" xfId="0" applyFont="1" applyAlignment="1"/>
    <xf numFmtId="0" fontId="2" fillId="0" borderId="0" xfId="0" applyFont="1" applyAlignment="1">
      <alignment wrapText="1"/>
    </xf>
    <xf numFmtId="0" fontId="3" fillId="0" borderId="0" xfId="0" applyFont="1" applyAlignment="1">
      <alignment horizontal="center" wrapText="1"/>
    </xf>
    <xf numFmtId="0" fontId="2" fillId="0" borderId="0" xfId="0" applyFont="1" applyAlignment="1">
      <alignment wrapText="1"/>
    </xf>
    <xf numFmtId="0" fontId="2" fillId="2" borderId="0" xfId="0" applyFont="1" applyFill="1" applyAlignment="1">
      <alignment wrapText="1"/>
    </xf>
    <xf numFmtId="0" fontId="4" fillId="0" borderId="0" xfId="0" applyFont="1" applyAlignment="1">
      <alignment wrapText="1"/>
    </xf>
    <xf numFmtId="0" fontId="2" fillId="0" borderId="0" xfId="0" applyFont="1" applyAlignment="1">
      <alignment wrapText="1"/>
    </xf>
    <xf numFmtId="0" fontId="5" fillId="3" borderId="0" xfId="0" applyFont="1" applyFill="1" applyAlignment="1">
      <alignment horizontal="left"/>
    </xf>
    <xf numFmtId="0" fontId="2" fillId="0" borderId="0" xfId="0" applyFont="1" applyAlignment="1">
      <alignment horizontal="left" wrapText="1"/>
    </xf>
    <xf numFmtId="0" fontId="6" fillId="3" borderId="0" xfId="0" applyFont="1" applyFill="1" applyAlignment="1">
      <alignment horizontal="center" wrapText="1"/>
    </xf>
    <xf numFmtId="0" fontId="6" fillId="3" borderId="0" xfId="0" applyFont="1" applyFill="1" applyAlignment="1">
      <alignment horizontal="center" wrapText="1"/>
    </xf>
    <xf numFmtId="0" fontId="7" fillId="3" borderId="0" xfId="0" applyFont="1" applyFill="1" applyAlignment="1">
      <alignment wrapText="1"/>
    </xf>
    <xf numFmtId="0" fontId="8" fillId="0" borderId="1" xfId="0" applyFont="1" applyBorder="1" applyAlignment="1">
      <alignment vertical="top" wrapText="1"/>
    </xf>
    <xf numFmtId="0" fontId="9" fillId="0" borderId="1" xfId="0" applyFont="1" applyBorder="1" applyAlignment="1">
      <alignment vertical="top" wrapText="1"/>
    </xf>
    <xf numFmtId="49" fontId="10" fillId="0" borderId="1" xfId="0" applyNumberFormat="1" applyFont="1" applyBorder="1" applyAlignment="1">
      <alignment vertical="top" wrapText="1"/>
    </xf>
    <xf numFmtId="0" fontId="11" fillId="0" borderId="0" xfId="0" applyFont="1" applyAlignment="1">
      <alignment wrapText="1"/>
    </xf>
    <xf numFmtId="49" fontId="12" fillId="0" borderId="1" xfId="0" applyNumberFormat="1" applyFont="1" applyBorder="1" applyAlignment="1">
      <alignment vertical="top" wrapText="1"/>
    </xf>
    <xf numFmtId="0" fontId="13" fillId="0" borderId="1" xfId="0" applyFont="1" applyBorder="1" applyAlignment="1">
      <alignment horizontal="center" vertical="top" wrapText="1"/>
    </xf>
    <xf numFmtId="0" fontId="14" fillId="0" borderId="1" xfId="0" applyFont="1" applyBorder="1" applyAlignment="1">
      <alignment vertical="top" wrapText="1"/>
    </xf>
    <xf numFmtId="0" fontId="15" fillId="3" borderId="0" xfId="0" applyFont="1" applyFill="1" applyAlignment="1">
      <alignment wrapText="1"/>
    </xf>
    <xf numFmtId="0" fontId="7" fillId="3" borderId="0" xfId="0" applyFont="1" applyFill="1" applyAlignment="1">
      <alignment wrapText="1"/>
    </xf>
    <xf numFmtId="0" fontId="16" fillId="0" borderId="1" xfId="0" applyFont="1" applyBorder="1" applyAlignment="1">
      <alignment vertical="top" wrapText="1"/>
    </xf>
    <xf numFmtId="0" fontId="17" fillId="3" borderId="0" xfId="0" applyFont="1" applyFill="1" applyAlignment="1">
      <alignment horizontal="left" wrapText="1"/>
    </xf>
    <xf numFmtId="0" fontId="2" fillId="0" borderId="1" xfId="0" applyFont="1" applyBorder="1" applyAlignment="1">
      <alignment vertical="top" wrapText="1"/>
    </xf>
    <xf numFmtId="0" fontId="18" fillId="0" borderId="1" xfId="0" applyFont="1" applyBorder="1" applyAlignment="1">
      <alignment horizontal="center" vertical="top" wrapText="1"/>
    </xf>
    <xf numFmtId="0" fontId="19" fillId="0" borderId="1" xfId="0" applyFont="1" applyBorder="1" applyAlignment="1">
      <alignment vertical="top" wrapText="1"/>
    </xf>
    <xf numFmtId="49" fontId="20" fillId="0" borderId="1" xfId="0" applyNumberFormat="1" applyFont="1" applyBorder="1" applyAlignment="1">
      <alignment vertical="top" wrapText="1"/>
    </xf>
    <xf numFmtId="0" fontId="11" fillId="0" borderId="0" xfId="0" applyFont="1" applyAlignment="1">
      <alignment horizontal="center" vertical="center" wrapText="1"/>
    </xf>
    <xf numFmtId="0" fontId="21" fillId="0" borderId="0" xfId="0" applyFont="1" applyAlignment="1">
      <alignment horizontal="center"/>
    </xf>
    <xf numFmtId="0" fontId="20" fillId="0" borderId="1" xfId="0" applyFont="1" applyBorder="1" applyAlignment="1">
      <alignment vertical="top" wrapText="1"/>
    </xf>
    <xf numFmtId="0" fontId="12" fillId="0" borderId="1" xfId="0" applyFont="1" applyBorder="1" applyAlignment="1">
      <alignment vertical="top" wrapText="1"/>
    </xf>
    <xf numFmtId="0" fontId="20" fillId="0" borderId="1" xfId="0" applyFont="1" applyBorder="1" applyAlignment="1">
      <alignment vertical="top" wrapText="1"/>
    </xf>
    <xf numFmtId="0" fontId="7" fillId="3" borderId="0" xfId="0" applyFont="1" applyFill="1" applyAlignment="1">
      <alignment horizontal="center" wrapText="1"/>
    </xf>
    <xf numFmtId="0" fontId="7" fillId="3" borderId="0" xfId="0" applyFont="1" applyFill="1" applyAlignment="1">
      <alignment horizontal="center" wrapText="1"/>
    </xf>
    <xf numFmtId="0" fontId="23" fillId="0" borderId="0" xfId="0" applyFont="1" applyAlignment="1">
      <alignment wrapText="1"/>
    </xf>
    <xf numFmtId="0" fontId="24" fillId="0" borderId="0" xfId="0" applyFont="1" applyAlignment="1">
      <alignment horizontal="center" wrapText="1"/>
    </xf>
    <xf numFmtId="0" fontId="25" fillId="0" borderId="0" xfId="0" applyFont="1" applyAlignment="1">
      <alignment wrapText="1"/>
    </xf>
    <xf numFmtId="0" fontId="26" fillId="0" borderId="0" xfId="0" applyFont="1" applyAlignment="1">
      <alignment horizontal="center" wrapText="1"/>
    </xf>
    <xf numFmtId="0" fontId="26"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8" fillId="0" borderId="0" xfId="0" applyFont="1" applyAlignment="1">
      <alignment horizontal="center"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28" fillId="0" borderId="0" xfId="0" applyFont="1" applyAlignment="1">
      <alignment horizontal="center" wrapText="1"/>
    </xf>
    <xf numFmtId="0" fontId="31" fillId="0" borderId="0" xfId="0" applyFont="1" applyAlignment="1">
      <alignment wrapText="1"/>
    </xf>
    <xf numFmtId="0" fontId="33" fillId="0" borderId="0" xfId="0" applyFont="1"/>
    <xf numFmtId="0" fontId="34" fillId="3" borderId="0" xfId="0" applyFont="1" applyFill="1" applyAlignment="1"/>
    <xf numFmtId="0" fontId="33" fillId="0" borderId="0" xfId="0" applyFont="1" applyAlignment="1"/>
    <xf numFmtId="0" fontId="34" fillId="3" borderId="0" xfId="0" applyFont="1" applyFill="1" applyAlignment="1">
      <alignment horizontal="left"/>
    </xf>
    <xf numFmtId="0" fontId="35" fillId="3" borderId="0" xfId="0" applyFont="1" applyFill="1" applyAlignment="1"/>
    <xf numFmtId="0" fontId="36" fillId="0" borderId="0" xfId="0" applyFont="1" applyAlignment="1"/>
    <xf numFmtId="0" fontId="7" fillId="0" borderId="0" xfId="0" applyFont="1" applyAlignment="1">
      <alignment wrapText="1"/>
    </xf>
    <xf numFmtId="0" fontId="7" fillId="0" borderId="0" xfId="0" applyFont="1" applyAlignment="1">
      <alignment wrapText="1"/>
    </xf>
    <xf numFmtId="0" fontId="37" fillId="0" borderId="0" xfId="0" applyFont="1" applyAlignment="1">
      <alignment wrapText="1"/>
    </xf>
    <xf numFmtId="0" fontId="7" fillId="0" borderId="0" xfId="0" applyFont="1" applyAlignment="1">
      <alignment horizontal="center" wrapText="1"/>
    </xf>
    <xf numFmtId="0" fontId="7" fillId="0" borderId="5" xfId="0" applyFont="1" applyBorder="1" applyAlignment="1">
      <alignment horizontal="center" wrapText="1"/>
    </xf>
    <xf numFmtId="0" fontId="7" fillId="0" borderId="2" xfId="0" applyFont="1" applyBorder="1" applyAlignment="1">
      <alignment horizontal="center" wrapText="1"/>
    </xf>
    <xf numFmtId="0" fontId="39" fillId="0" borderId="5" xfId="0" applyFont="1" applyBorder="1" applyAlignment="1">
      <alignment wrapText="1"/>
    </xf>
    <xf numFmtId="0" fontId="39" fillId="0" borderId="2" xfId="0" applyFont="1" applyBorder="1" applyAlignment="1">
      <alignment wrapText="1"/>
    </xf>
    <xf numFmtId="0" fontId="7" fillId="5" borderId="5" xfId="0" applyFont="1" applyFill="1" applyBorder="1" applyAlignment="1">
      <alignment horizontal="center" wrapText="1"/>
    </xf>
    <xf numFmtId="0" fontId="39" fillId="5" borderId="5" xfId="0" applyFont="1" applyFill="1" applyBorder="1" applyAlignment="1">
      <alignment wrapText="1"/>
    </xf>
    <xf numFmtId="0" fontId="6" fillId="4" borderId="5" xfId="0" applyFont="1" applyFill="1" applyBorder="1" applyAlignment="1">
      <alignment horizontal="center" wrapText="1"/>
    </xf>
    <xf numFmtId="0" fontId="39" fillId="6" borderId="5" xfId="0" applyFont="1" applyFill="1" applyBorder="1" applyAlignment="1">
      <alignment wrapText="1"/>
    </xf>
    <xf numFmtId="0" fontId="58" fillId="0" borderId="0" xfId="0" applyFont="1" applyAlignment="1"/>
    <xf numFmtId="0" fontId="0" fillId="0" borderId="0" xfId="0" applyFont="1" applyAlignment="1">
      <alignment horizontal="left" vertical="center" indent="1"/>
    </xf>
    <xf numFmtId="0" fontId="58" fillId="0" borderId="0" xfId="0" applyFont="1" applyAlignment="1">
      <alignment horizontal="left" vertical="center" indent="1"/>
    </xf>
    <xf numFmtId="0" fontId="56" fillId="0" borderId="0" xfId="0" applyFont="1" applyAlignment="1">
      <alignment vertical="center"/>
    </xf>
    <xf numFmtId="0" fontId="57" fillId="0" borderId="0" xfId="0" applyFont="1" applyAlignment="1">
      <alignment horizontal="center" vertical="center" wrapText="1"/>
    </xf>
    <xf numFmtId="0" fontId="0" fillId="0" borderId="0" xfId="0" applyFont="1" applyAlignment="1">
      <alignment vertical="center" wrapText="1"/>
    </xf>
    <xf numFmtId="0" fontId="58" fillId="0" borderId="0" xfId="0" applyFont="1" applyAlignment="1">
      <alignment vertical="center" wrapText="1"/>
    </xf>
    <xf numFmtId="0" fontId="0" fillId="7" borderId="0" xfId="0" applyFont="1" applyFill="1" applyAlignment="1"/>
    <xf numFmtId="0" fontId="23" fillId="0" borderId="0" xfId="0" applyFont="1" applyAlignment="1">
      <alignment vertical="center" wrapText="1"/>
    </xf>
    <xf numFmtId="0" fontId="24" fillId="0" borderId="0" xfId="0" applyFont="1" applyAlignment="1">
      <alignment horizontal="center" vertical="center" wrapText="1"/>
    </xf>
    <xf numFmtId="0" fontId="25" fillId="0" borderId="0" xfId="0" applyFont="1" applyAlignment="1">
      <alignment vertical="center" wrapText="1"/>
    </xf>
    <xf numFmtId="0" fontId="28" fillId="0" borderId="0" xfId="0" applyFont="1" applyAlignment="1">
      <alignment horizontal="center" vertical="center" wrapText="1"/>
    </xf>
    <xf numFmtId="0" fontId="0" fillId="0" borderId="0" xfId="0" quotePrefix="1" applyAlignment="1">
      <alignment vertical="center" wrapText="1"/>
    </xf>
    <xf numFmtId="0" fontId="0" fillId="0" borderId="0" xfId="0" applyAlignment="1">
      <alignment vertical="center" wrapText="1"/>
    </xf>
    <xf numFmtId="0" fontId="28" fillId="0" borderId="0" xfId="0" applyFont="1" applyAlignment="1">
      <alignment vertical="center" wrapText="1"/>
    </xf>
    <xf numFmtId="0" fontId="28" fillId="0" borderId="0" xfId="0" quotePrefix="1" applyFont="1" applyAlignment="1">
      <alignment vertical="center" wrapText="1"/>
    </xf>
    <xf numFmtId="0" fontId="28" fillId="3" borderId="0" xfId="0" applyFont="1" applyFill="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vertical="center" wrapText="1"/>
    </xf>
    <xf numFmtId="0" fontId="32" fillId="0" borderId="0" xfId="0" applyFont="1" applyAlignment="1">
      <alignment vertical="center" wrapText="1"/>
    </xf>
    <xf numFmtId="0" fontId="26" fillId="0" borderId="0" xfId="0" applyFont="1" applyAlignment="1">
      <alignment horizontal="left" vertical="center" wrapText="1"/>
    </xf>
    <xf numFmtId="0" fontId="23" fillId="7" borderId="0" xfId="0" applyFont="1" applyFill="1" applyAlignment="1">
      <alignment vertical="center" wrapText="1"/>
    </xf>
    <xf numFmtId="0" fontId="60" fillId="0" borderId="0" xfId="0" quotePrefix="1" applyFont="1" applyAlignment="1">
      <alignment vertical="center" wrapText="1"/>
    </xf>
    <xf numFmtId="0" fontId="0" fillId="0" borderId="0" xfId="0" applyFont="1" applyAlignment="1">
      <alignment horizontal="left" vertical="center" wrapText="1"/>
    </xf>
    <xf numFmtId="0" fontId="58" fillId="0" borderId="0" xfId="0" applyFont="1" applyAlignment="1">
      <alignment horizontal="left" vertical="center" wrapText="1"/>
    </xf>
    <xf numFmtId="0" fontId="56" fillId="0" borderId="0" xfId="0" applyFont="1" applyAlignment="1">
      <alignment vertical="center" wrapText="1"/>
    </xf>
    <xf numFmtId="0" fontId="55" fillId="0" borderId="0" xfId="0" applyFont="1" applyAlignment="1">
      <alignment vertical="center" wrapText="1"/>
    </xf>
    <xf numFmtId="0" fontId="59" fillId="0" borderId="0" xfId="0" applyFont="1" applyAlignment="1">
      <alignment horizontal="left" vertical="center" wrapText="1"/>
    </xf>
    <xf numFmtId="0" fontId="54" fillId="0" borderId="0" xfId="0" applyFont="1" applyAlignment="1">
      <alignment vertical="center" wrapText="1"/>
    </xf>
    <xf numFmtId="0" fontId="0" fillId="0" borderId="0" xfId="0" applyFont="1" applyAlignment="1"/>
    <xf numFmtId="0" fontId="0" fillId="0" borderId="0" xfId="0" applyFont="1" applyAlignment="1">
      <alignment vertical="center" wrapText="1"/>
    </xf>
    <xf numFmtId="0" fontId="53" fillId="0" borderId="0" xfId="0" applyFont="1" applyAlignment="1">
      <alignment vertical="center"/>
    </xf>
    <xf numFmtId="0" fontId="57" fillId="0" borderId="0" xfId="0" applyFont="1" applyAlignment="1">
      <alignment horizontal="left" vertical="center" indent="1"/>
    </xf>
    <xf numFmtId="0" fontId="58" fillId="0" borderId="0" xfId="0" applyFont="1" applyAlignment="1">
      <alignment horizontal="left" vertical="center" indent="2"/>
    </xf>
    <xf numFmtId="0" fontId="57" fillId="0" borderId="0" xfId="0" applyFont="1" applyAlignment="1">
      <alignment vertical="center" wrapText="1"/>
    </xf>
    <xf numFmtId="0" fontId="53" fillId="0" borderId="0" xfId="0" applyFont="1" applyAlignment="1">
      <alignment vertical="center" wrapText="1"/>
    </xf>
    <xf numFmtId="0" fontId="1" fillId="0" borderId="0" xfId="0" applyFont="1" applyAlignment="1">
      <alignment horizontal="center" wrapText="1"/>
    </xf>
    <xf numFmtId="0" fontId="0" fillId="0" borderId="0" xfId="0" applyFont="1" applyAlignment="1"/>
    <xf numFmtId="0" fontId="22" fillId="0" borderId="0" xfId="0" applyFont="1" applyAlignment="1">
      <alignment horizontal="center" wrapText="1"/>
    </xf>
    <xf numFmtId="0" fontId="22" fillId="0" borderId="0" xfId="0" applyFont="1" applyAlignment="1">
      <alignment horizontal="center" vertical="center" wrapText="1"/>
    </xf>
    <xf numFmtId="0" fontId="0" fillId="0" borderId="0" xfId="0" applyFont="1" applyAlignment="1">
      <alignment vertical="center" wrapText="1"/>
    </xf>
    <xf numFmtId="0" fontId="58" fillId="0" borderId="0" xfId="0" applyFont="1" applyAlignment="1">
      <alignment horizontal="center" vertical="center" wrapText="1"/>
    </xf>
    <xf numFmtId="0" fontId="58" fillId="0" borderId="0" xfId="0" applyFont="1" applyAlignment="1">
      <alignment horizontal="left" vertical="center" wrapText="1"/>
    </xf>
    <xf numFmtId="0" fontId="0" fillId="0" borderId="0" xfId="0" applyFont="1" applyAlignment="1">
      <alignment horizontal="left" vertical="center"/>
    </xf>
    <xf numFmtId="0" fontId="0"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horizontal="left" vertical="center"/>
    </xf>
    <xf numFmtId="0" fontId="6" fillId="4" borderId="2" xfId="0" applyFont="1" applyFill="1" applyBorder="1" applyAlignment="1">
      <alignment horizontal="center" wrapText="1"/>
    </xf>
    <xf numFmtId="0" fontId="38" fillId="0" borderId="3" xfId="0" applyFont="1" applyBorder="1"/>
    <xf numFmtId="0" fontId="38" fillId="0" borderId="4" xfId="0" applyFont="1" applyBorder="1"/>
    <xf numFmtId="0" fontId="0" fillId="0" borderId="0" xfId="0" applyFont="1" applyAlignment="1">
      <alignment vertical="center"/>
    </xf>
    <xf numFmtId="0" fontId="55" fillId="0" borderId="0" xfId="0" applyFont="1" applyAlignment="1">
      <alignment vertical="center"/>
    </xf>
    <xf numFmtId="0" fontId="58" fillId="7"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utu.be/sPKM2o-ZM8E" TargetMode="External"/><Relationship Id="rId13" Type="http://schemas.openxmlformats.org/officeDocument/2006/relationships/hyperlink" Target="https://www.youtube.com/watch?v=uAM8vhiGp5k&amp;list=PLM8QIcSzt9N3cBg2jDLpbZ_uWMe5d_ug2&amp;index=7" TargetMode="External"/><Relationship Id="rId18" Type="http://schemas.openxmlformats.org/officeDocument/2006/relationships/hyperlink" Target="https://james.codegym.vn/mod/folder/view.php?id=15294" TargetMode="External"/><Relationship Id="rId3" Type="http://schemas.openxmlformats.org/officeDocument/2006/relationships/hyperlink" Target="https://james.codegym.vn/mod/assign/view.php?id=15453" TargetMode="External"/><Relationship Id="rId7" Type="http://schemas.openxmlformats.org/officeDocument/2006/relationships/hyperlink" Target="https://james.codegym.vn/mod/assign/view.php?id=15486&amp;forceview=1" TargetMode="External"/><Relationship Id="rId12" Type="http://schemas.openxmlformats.org/officeDocument/2006/relationships/hyperlink" Target="https://app.diagrams.net/" TargetMode="External"/><Relationship Id="rId17" Type="http://schemas.openxmlformats.org/officeDocument/2006/relationships/hyperlink" Target="https://james.codegym.vn/mod/assign/view.php?id=15538&amp;forceview=1" TargetMode="External"/><Relationship Id="rId2" Type="http://schemas.openxmlformats.org/officeDocument/2006/relationships/hyperlink" Target="https://james.codegym.vn/course/view.php?id=572" TargetMode="External"/><Relationship Id="rId16" Type="http://schemas.openxmlformats.org/officeDocument/2006/relationships/hyperlink" Target="https://james.codegym.vn/mod/assign/view.php?id=15537" TargetMode="External"/><Relationship Id="rId1" Type="http://schemas.openxmlformats.org/officeDocument/2006/relationships/hyperlink" Target="https://james.codegym.vn/mod/assign/view.php?id=15355" TargetMode="External"/><Relationship Id="rId6" Type="http://schemas.openxmlformats.org/officeDocument/2006/relationships/hyperlink" Target="https://james.codegym.vn/mod/assign/view.php?id=15485" TargetMode="External"/><Relationship Id="rId11" Type="http://schemas.openxmlformats.org/officeDocument/2006/relationships/hyperlink" Target="https://james.codegym.vn/mod/assign/view.php?id=15504" TargetMode="External"/><Relationship Id="rId5" Type="http://schemas.openxmlformats.org/officeDocument/2006/relationships/hyperlink" Target="https://james.codegym.vn/mod/assign/view.php?id=15484" TargetMode="External"/><Relationship Id="rId15" Type="http://schemas.openxmlformats.org/officeDocument/2006/relationships/hyperlink" Target="https://youtu.be/lcfhFg1ryR4" TargetMode="External"/><Relationship Id="rId10" Type="http://schemas.openxmlformats.org/officeDocument/2006/relationships/hyperlink" Target="https://james.codegym.vn/mod/assign/view.php?id=15506&amp;forceview=1" TargetMode="External"/><Relationship Id="rId19" Type="http://schemas.openxmlformats.org/officeDocument/2006/relationships/hyperlink" Target="https://james.codegym.vn/mod/folder/view.php?id=15294" TargetMode="External"/><Relationship Id="rId4" Type="http://schemas.openxmlformats.org/officeDocument/2006/relationships/hyperlink" Target="https://james.codegym.vn/mod/assign/view.php?id=15456&amp;forceview=1" TargetMode="External"/><Relationship Id="rId9" Type="http://schemas.openxmlformats.org/officeDocument/2006/relationships/hyperlink" Target="https://james.codegym.vn/mod/assign/view.php?id=15501" TargetMode="External"/><Relationship Id="rId14" Type="http://schemas.openxmlformats.org/officeDocument/2006/relationships/hyperlink" Target="https://james.codegym.vn/mod/assign/view.php?id=1553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ndy.codegym.vn/center/1/students/5167/details" TargetMode="External"/><Relationship Id="rId18" Type="http://schemas.openxmlformats.org/officeDocument/2006/relationships/hyperlink" Target="https://docs.google.com/document/d/1ykNXln2tO8DUsgMgKVec7jROcQFss4uoHHL2dskRLew/edit?usp=sharing" TargetMode="External"/><Relationship Id="rId26" Type="http://schemas.openxmlformats.org/officeDocument/2006/relationships/hyperlink" Target="https://docs.google.com/document/d/1NaLjfJ4SvlVz2EYSdo_e4l8RFdat5h0jf9iPPkPzjT4/edit" TargetMode="External"/><Relationship Id="rId39" Type="http://schemas.openxmlformats.org/officeDocument/2006/relationships/hyperlink" Target="https://docs.google.com/document/d/1wkQvyErLLq827StOq5pj53t1vurz-Yz4_81unF-0fIk/edit" TargetMode="External"/><Relationship Id="rId21" Type="http://schemas.openxmlformats.org/officeDocument/2006/relationships/hyperlink" Target="https://docs.google.com/document/d/1D7Urk765ZecjJshgP_751zu-yKvOrY2fuxKSdo1L2BE/edit" TargetMode="External"/><Relationship Id="rId34" Type="http://schemas.openxmlformats.org/officeDocument/2006/relationships/hyperlink" Target="https://andy.codegym.vn/center/1/students/5177/details" TargetMode="External"/><Relationship Id="rId42" Type="http://schemas.openxmlformats.org/officeDocument/2006/relationships/hyperlink" Target="https://docs.google.com/document/d/1kPNNnNcPhjUTUKw9SSJz3m9vM2Z8oalcYPX9Zr_eLCs/edit?usp=sharing" TargetMode="External"/><Relationship Id="rId47" Type="http://schemas.openxmlformats.org/officeDocument/2006/relationships/hyperlink" Target="https://andy.codegym.vn/center/1/students/5181/details" TargetMode="External"/><Relationship Id="rId50" Type="http://schemas.openxmlformats.org/officeDocument/2006/relationships/hyperlink" Target="https://andy.codegym.vn/center/1/students/5182/details" TargetMode="External"/><Relationship Id="rId7" Type="http://schemas.openxmlformats.org/officeDocument/2006/relationships/hyperlink" Target="https://docs.google.com/document/d/1Qz5sB3I0rS5ffzj5XFT_WcOGGyqJZ_6BYWi5MJSmpek/edit" TargetMode="External"/><Relationship Id="rId2" Type="http://schemas.openxmlformats.org/officeDocument/2006/relationships/hyperlink" Target="https://andy.codegym.vn/center/1/students/5164/details" TargetMode="External"/><Relationship Id="rId16" Type="http://schemas.openxmlformats.org/officeDocument/2006/relationships/hyperlink" Target="https://andy.codegym.vn/center/1/students/5170/details" TargetMode="External"/><Relationship Id="rId29" Type="http://schemas.openxmlformats.org/officeDocument/2006/relationships/hyperlink" Target="https://docs.google.com/document/d/1M-lZntn5pxkm-KQIyxKED__vZ1IWtbrKLKuxVTduVYo/edit" TargetMode="External"/><Relationship Id="rId11" Type="http://schemas.openxmlformats.org/officeDocument/2006/relationships/hyperlink" Target="https://docs.google.com/document/d/1PLxbKtlMxheNm6FtnUORHc-9jQKdD4uY_go9aAyjkTY/edit" TargetMode="External"/><Relationship Id="rId24" Type="http://schemas.openxmlformats.org/officeDocument/2006/relationships/hyperlink" Target="https://andy.codegym.vn/center/1/students/5174/details" TargetMode="External"/><Relationship Id="rId32" Type="http://schemas.openxmlformats.org/officeDocument/2006/relationships/hyperlink" Target="https://docs.google.com/document/d/1KTTkGZCtLm_9GKaOd0I49zGEgaM6zlNj0VioKsW6BE4/edit?usp=sharing" TargetMode="External"/><Relationship Id="rId37" Type="http://schemas.openxmlformats.org/officeDocument/2006/relationships/hyperlink" Target="https://andy.codegym.vn/center/1/students/5178/details" TargetMode="External"/><Relationship Id="rId40" Type="http://schemas.openxmlformats.org/officeDocument/2006/relationships/hyperlink" Target="https://andy.codegym.vn/center/1/students/5179/details" TargetMode="External"/><Relationship Id="rId45" Type="http://schemas.openxmlformats.org/officeDocument/2006/relationships/hyperlink" Target="https://andy.codegym.vn/center/1/students/5180/details" TargetMode="External"/><Relationship Id="rId53" Type="http://schemas.openxmlformats.org/officeDocument/2006/relationships/hyperlink" Target="https://docs.google.com/document/d/1Y4wG4AHHlf0JZsKIxhZMtR4K1jixYv5_Z9lgqdUYX-U/edit?usp=sharing" TargetMode="External"/><Relationship Id="rId5" Type="http://schemas.openxmlformats.org/officeDocument/2006/relationships/hyperlink" Target="https://andy.codegym.vn/center/1/students/5165/details" TargetMode="External"/><Relationship Id="rId10" Type="http://schemas.openxmlformats.org/officeDocument/2006/relationships/hyperlink" Target="https://andy.codegym.vn/center/1/students/5166/details" TargetMode="External"/><Relationship Id="rId19" Type="http://schemas.openxmlformats.org/officeDocument/2006/relationships/hyperlink" Target="https://andy.codegym.vn/center/1/students/5171/details" TargetMode="External"/><Relationship Id="rId31" Type="http://schemas.openxmlformats.org/officeDocument/2006/relationships/hyperlink" Target="https://andy.codegym.vn/center/1/students/5176/details" TargetMode="External"/><Relationship Id="rId44" Type="http://schemas.openxmlformats.org/officeDocument/2006/relationships/hyperlink" Target="https://andy.codegym.vn/center/1/students/5180/details" TargetMode="External"/><Relationship Id="rId52" Type="http://schemas.openxmlformats.org/officeDocument/2006/relationships/hyperlink" Target="https://docs.google.com/document/d/1KYM83t4Pq9Cu4uk_K4Y1YuzVdtwg_UhkO1BKLmzfJNU/edit?usp=sharing" TargetMode="External"/><Relationship Id="rId4" Type="http://schemas.openxmlformats.org/officeDocument/2006/relationships/hyperlink" Target="https://docs.google.com/document/d/1ZUuYdWM0fxyfgZJzsoQGP8ozg5a-uWjWq_ZDVMJ_Bio/edit" TargetMode="External"/><Relationship Id="rId9" Type="http://schemas.openxmlformats.org/officeDocument/2006/relationships/hyperlink" Target="https://andy.codegym.vn/center/1/students/5166/details" TargetMode="External"/><Relationship Id="rId14" Type="http://schemas.openxmlformats.org/officeDocument/2006/relationships/hyperlink" Target="https://docs.google.com/document/d/1m2651kLFW8lx1ttEsv2dOqoXr_UvXRIMTZagikyszXU/edit?usp=sharing" TargetMode="External"/><Relationship Id="rId22" Type="http://schemas.openxmlformats.org/officeDocument/2006/relationships/hyperlink" Target="https://docs.google.com/document/d/1EWA2JD5_ZszbarCCaj3BpoNfxWVACOYNisJd0GFf_h4/edit" TargetMode="External"/><Relationship Id="rId27" Type="http://schemas.openxmlformats.org/officeDocument/2006/relationships/hyperlink" Target="https://andy.codegym.vn/center/1/students/5175/details" TargetMode="External"/><Relationship Id="rId30" Type="http://schemas.openxmlformats.org/officeDocument/2006/relationships/hyperlink" Target="https://andy.codegym.vn/center/1/students/5176/details" TargetMode="External"/><Relationship Id="rId35" Type="http://schemas.openxmlformats.org/officeDocument/2006/relationships/hyperlink" Target="https://docs.google.com/document/d/1hsQQA-269ilWNaoFftIomS555Ipt_LeNEGodmesVzek/edit" TargetMode="External"/><Relationship Id="rId43" Type="http://schemas.openxmlformats.org/officeDocument/2006/relationships/hyperlink" Target="https://docs.google.com/document/d/1iOK2HvGTMCc6V5wrcEfSUTGsE6K_MpvRUolVK6V_Rlw/edit?usp=sharing" TargetMode="External"/><Relationship Id="rId48" Type="http://schemas.openxmlformats.org/officeDocument/2006/relationships/hyperlink" Target="https://andy.codegym.vn/center/1/students/5181/details" TargetMode="External"/><Relationship Id="rId8" Type="http://schemas.openxmlformats.org/officeDocument/2006/relationships/hyperlink" Target="https://docs.google.com/document/d/1Vui6eLDT7lLQW7NN_M217A8kdrdYlb3_0kITcu3_qxQ/edit" TargetMode="External"/><Relationship Id="rId51" Type="http://schemas.openxmlformats.org/officeDocument/2006/relationships/hyperlink" Target="https://andy.codegym.vn/center/1/students/5182/details" TargetMode="External"/><Relationship Id="rId3" Type="http://schemas.openxmlformats.org/officeDocument/2006/relationships/hyperlink" Target="https://docs.google.com/document/d/1zalJezUTqyCtMpjXZ-LRBvvC5gHQFPiu1cHyC-W6-lc/edit" TargetMode="External"/><Relationship Id="rId12" Type="http://schemas.openxmlformats.org/officeDocument/2006/relationships/hyperlink" Target="https://andy.codegym.vn/center/1/students/5167/details" TargetMode="External"/><Relationship Id="rId17" Type="http://schemas.openxmlformats.org/officeDocument/2006/relationships/hyperlink" Target="https://andy.codegym.vn/center/1/students/5170/details" TargetMode="External"/><Relationship Id="rId25" Type="http://schemas.openxmlformats.org/officeDocument/2006/relationships/hyperlink" Target="https://docs.google.com/document/d/10vyWckdSZgckTfEBmXBT02zmpC_UzQpDn9Y5i0D6bRk/edit" TargetMode="External"/><Relationship Id="rId33" Type="http://schemas.openxmlformats.org/officeDocument/2006/relationships/hyperlink" Target="https://andy.codegym.vn/center/1/students/5177/details" TargetMode="External"/><Relationship Id="rId38" Type="http://schemas.openxmlformats.org/officeDocument/2006/relationships/hyperlink" Target="https://andy.codegym.vn/center/1/students/5178/details" TargetMode="External"/><Relationship Id="rId46" Type="http://schemas.openxmlformats.org/officeDocument/2006/relationships/hyperlink" Target="https://docs.google.com/document/d/18vQ7AiF-GxWnk28vU-nN-vPVfo9lNZ1lopsR7sd3CD0/edit" TargetMode="External"/><Relationship Id="rId20" Type="http://schemas.openxmlformats.org/officeDocument/2006/relationships/hyperlink" Target="https://andy.codegym.vn/center/1/students/5171/details" TargetMode="External"/><Relationship Id="rId41" Type="http://schemas.openxmlformats.org/officeDocument/2006/relationships/hyperlink" Target="https://andy.codegym.vn/center/1/students/5179/details" TargetMode="External"/><Relationship Id="rId1" Type="http://schemas.openxmlformats.org/officeDocument/2006/relationships/hyperlink" Target="https://andy.codegym.vn/center/1/students/5164/details" TargetMode="External"/><Relationship Id="rId6" Type="http://schemas.openxmlformats.org/officeDocument/2006/relationships/hyperlink" Target="https://andy.codegym.vn/center/1/students/5165/details" TargetMode="External"/><Relationship Id="rId15" Type="http://schemas.openxmlformats.org/officeDocument/2006/relationships/hyperlink" Target="https://docs.google.com/document/d/1felDlP5QzKI6bVtnhDAtr_vYThzrq68-1IucnPBGpXc/edit?usp=sharing" TargetMode="External"/><Relationship Id="rId23" Type="http://schemas.openxmlformats.org/officeDocument/2006/relationships/hyperlink" Target="https://andy.codegym.vn/center/1/students/5174/details" TargetMode="External"/><Relationship Id="rId28" Type="http://schemas.openxmlformats.org/officeDocument/2006/relationships/hyperlink" Target="https://andy.codegym.vn/center/1/students/5175/details" TargetMode="External"/><Relationship Id="rId36" Type="http://schemas.openxmlformats.org/officeDocument/2006/relationships/hyperlink" Target="https://docs.google.com/document/d/12_FUHzgT5IV4SK-FT4w9hEeLDE1LstynVzF-Q5GTzIk/edit" TargetMode="External"/><Relationship Id="rId49" Type="http://schemas.openxmlformats.org/officeDocument/2006/relationships/hyperlink" Target="https://docs.google.com/document/d/1Wf0rjulF_iEP21bSigx545qwL74F0yQN9a7tP0HexW4/edi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google.com/document/d/1r4XKbef4vH3w8AXPj1C7FGBOoW1j24jqT1MdN1DB7Wg/edit?usp=sharing" TargetMode="External"/><Relationship Id="rId2" Type="http://schemas.openxmlformats.org/officeDocument/2006/relationships/hyperlink" Target="https://james.codegym.vn/course/view.php?id=545&amp;section=2" TargetMode="External"/><Relationship Id="rId1" Type="http://schemas.openxmlformats.org/officeDocument/2006/relationships/hyperlink" Target="https://james.codegym.vn/course/view.php?id=545&amp;section=1" TargetMode="External"/><Relationship Id="rId5" Type="http://schemas.openxmlformats.org/officeDocument/2006/relationships/hyperlink" Target="https://docs.google.com/document/d/1xnoAZgVbTzX4BVDbxTlMCsbvuTYe94Wy-5FQc1X9hTU/edit?usp=sharing" TargetMode="External"/><Relationship Id="rId4" Type="http://schemas.openxmlformats.org/officeDocument/2006/relationships/hyperlink" Target="https://james.codegym.vn/course/view.php?id=545&amp;section=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drive/u/0/folders/1-vEolVETDAJdVvJ-Cf5TAoFLW-4qqC7n" TargetMode="External"/><Relationship Id="rId2" Type="http://schemas.openxmlformats.org/officeDocument/2006/relationships/hyperlink" Target="https://webcoban.vn/html/tai-lieu-hoc-html" TargetMode="External"/><Relationship Id="rId1" Type="http://schemas.openxmlformats.org/officeDocument/2006/relationships/hyperlink" Target="https://docs.google.com/document/d/1-fxKcilOMwkDGJeFvLTM8KvH72dQ2EZ2mRk8HWpBmuQ/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D1"/>
    </sheetView>
  </sheetViews>
  <sheetFormatPr defaultColWidth="12.6640625" defaultRowHeight="15.75" customHeight="1"/>
  <cols>
    <col min="1" max="3" width="42.21875" customWidth="1"/>
    <col min="4" max="4" width="52.109375" customWidth="1"/>
    <col min="5" max="26" width="42.21875" customWidth="1"/>
  </cols>
  <sheetData>
    <row r="1" spans="1:26" ht="18.600000000000001">
      <c r="A1" s="101" t="s">
        <v>0</v>
      </c>
      <c r="B1" s="102"/>
      <c r="C1" s="102"/>
      <c r="D1" s="102"/>
      <c r="E1" s="1"/>
      <c r="F1" s="1"/>
      <c r="G1" s="1"/>
      <c r="H1" s="1"/>
      <c r="I1" s="1"/>
      <c r="J1" s="1"/>
      <c r="K1" s="1"/>
      <c r="L1" s="1"/>
      <c r="M1" s="1"/>
      <c r="N1" s="1"/>
      <c r="O1" s="1"/>
      <c r="P1" s="1"/>
      <c r="Q1" s="1"/>
      <c r="R1" s="1"/>
      <c r="S1" s="1"/>
      <c r="T1" s="1"/>
      <c r="U1" s="1"/>
      <c r="V1" s="1"/>
      <c r="W1" s="1"/>
      <c r="X1" s="1"/>
      <c r="Y1" s="1"/>
      <c r="Z1" s="1"/>
    </row>
    <row r="2" spans="1:26" ht="13.8">
      <c r="A2" s="2" t="s">
        <v>1</v>
      </c>
      <c r="B2" s="2" t="s">
        <v>2</v>
      </c>
      <c r="C2" s="2" t="s">
        <v>3</v>
      </c>
      <c r="D2" s="2" t="s">
        <v>4</v>
      </c>
      <c r="E2" s="1"/>
      <c r="F2" s="1"/>
      <c r="G2" s="1"/>
      <c r="H2" s="1"/>
      <c r="I2" s="1"/>
      <c r="J2" s="1"/>
      <c r="K2" s="1"/>
      <c r="L2" s="1"/>
      <c r="M2" s="1"/>
      <c r="N2" s="1"/>
      <c r="O2" s="1"/>
      <c r="P2" s="1"/>
      <c r="Q2" s="1"/>
      <c r="R2" s="1"/>
      <c r="S2" s="1"/>
      <c r="T2" s="1"/>
      <c r="U2" s="1"/>
      <c r="V2" s="1"/>
      <c r="W2" s="1"/>
      <c r="X2" s="1"/>
      <c r="Y2" s="1"/>
      <c r="Z2" s="1"/>
    </row>
    <row r="3" spans="1:26" ht="82.8">
      <c r="A3" s="3" t="s">
        <v>5</v>
      </c>
      <c r="B3" s="3" t="s">
        <v>6</v>
      </c>
      <c r="C3" s="3" t="s">
        <v>7</v>
      </c>
      <c r="D3" s="3" t="s">
        <v>8</v>
      </c>
      <c r="E3" s="1"/>
      <c r="F3" s="1"/>
      <c r="G3" s="1"/>
      <c r="H3" s="1"/>
      <c r="I3" s="1"/>
      <c r="J3" s="1"/>
      <c r="K3" s="1"/>
      <c r="L3" s="1"/>
      <c r="M3" s="1"/>
      <c r="N3" s="1"/>
      <c r="O3" s="1"/>
      <c r="P3" s="1"/>
      <c r="Q3" s="1"/>
      <c r="R3" s="1"/>
      <c r="S3" s="1"/>
      <c r="T3" s="1"/>
      <c r="U3" s="1"/>
      <c r="V3" s="1"/>
      <c r="W3" s="1"/>
      <c r="X3" s="1"/>
      <c r="Y3" s="1"/>
      <c r="Z3" s="1"/>
    </row>
    <row r="4" spans="1:26" ht="82.8">
      <c r="A4" s="3" t="s">
        <v>9</v>
      </c>
      <c r="B4" s="4" t="s">
        <v>10</v>
      </c>
      <c r="C4" s="3" t="s">
        <v>11</v>
      </c>
      <c r="D4" s="5" t="s">
        <v>12</v>
      </c>
      <c r="E4" s="1"/>
      <c r="F4" s="1"/>
      <c r="G4" s="1"/>
      <c r="H4" s="1"/>
      <c r="I4" s="1"/>
      <c r="J4" s="1"/>
      <c r="K4" s="1"/>
      <c r="L4" s="1"/>
      <c r="M4" s="1"/>
      <c r="N4" s="1"/>
      <c r="O4" s="1"/>
      <c r="P4" s="1"/>
      <c r="Q4" s="1"/>
      <c r="R4" s="1"/>
      <c r="S4" s="1"/>
      <c r="T4" s="1"/>
      <c r="U4" s="1"/>
      <c r="V4" s="1"/>
      <c r="W4" s="1"/>
      <c r="X4" s="1"/>
      <c r="Y4" s="1"/>
      <c r="Z4" s="1"/>
    </row>
    <row r="5" spans="1:26" ht="179.4">
      <c r="A5" s="3" t="s">
        <v>13</v>
      </c>
      <c r="B5" s="3" t="s">
        <v>14</v>
      </c>
      <c r="C5" s="3" t="s">
        <v>15</v>
      </c>
      <c r="D5" s="6" t="s">
        <v>16</v>
      </c>
      <c r="E5" s="1"/>
      <c r="F5" s="1"/>
      <c r="G5" s="1"/>
      <c r="H5" s="1"/>
      <c r="I5" s="1"/>
      <c r="J5" s="1"/>
      <c r="K5" s="1"/>
      <c r="L5" s="1"/>
      <c r="M5" s="1"/>
      <c r="N5" s="1"/>
      <c r="O5" s="1"/>
      <c r="P5" s="1"/>
      <c r="Q5" s="1"/>
      <c r="R5" s="1"/>
      <c r="S5" s="1"/>
      <c r="T5" s="1"/>
      <c r="U5" s="1"/>
      <c r="V5" s="1"/>
      <c r="W5" s="1"/>
      <c r="X5" s="1"/>
      <c r="Y5" s="1"/>
      <c r="Z5" s="1"/>
    </row>
    <row r="6" spans="1:26" ht="82.8">
      <c r="A6" s="7" t="s">
        <v>17</v>
      </c>
      <c r="B6" s="3" t="s">
        <v>18</v>
      </c>
      <c r="C6" s="3" t="s">
        <v>19</v>
      </c>
      <c r="D6" s="3" t="s">
        <v>20</v>
      </c>
      <c r="E6" s="1"/>
      <c r="F6" s="1"/>
      <c r="G6" s="1"/>
      <c r="H6" s="1"/>
      <c r="I6" s="1"/>
      <c r="J6" s="1"/>
      <c r="K6" s="1"/>
      <c r="L6" s="1"/>
      <c r="M6" s="1"/>
      <c r="N6" s="1"/>
      <c r="O6" s="1"/>
      <c r="P6" s="1"/>
      <c r="Q6" s="1"/>
      <c r="R6" s="1"/>
      <c r="S6" s="1"/>
      <c r="T6" s="1"/>
      <c r="U6" s="1"/>
      <c r="V6" s="1"/>
      <c r="W6" s="1"/>
      <c r="X6" s="1"/>
      <c r="Y6" s="1"/>
      <c r="Z6" s="1"/>
    </row>
    <row r="7" spans="1:26" ht="110.4">
      <c r="A7" s="3" t="s">
        <v>21</v>
      </c>
      <c r="B7" s="3" t="s">
        <v>22</v>
      </c>
      <c r="C7" s="3" t="s">
        <v>23</v>
      </c>
      <c r="D7" s="3" t="s">
        <v>24</v>
      </c>
      <c r="E7" s="1"/>
      <c r="F7" s="1"/>
      <c r="G7" s="1"/>
      <c r="H7" s="1"/>
      <c r="I7" s="1"/>
      <c r="J7" s="1"/>
      <c r="K7" s="1"/>
      <c r="L7" s="1"/>
      <c r="M7" s="1"/>
      <c r="N7" s="1"/>
      <c r="O7" s="1"/>
      <c r="P7" s="1"/>
      <c r="Q7" s="1"/>
      <c r="R7" s="1"/>
      <c r="S7" s="1"/>
      <c r="T7" s="1"/>
      <c r="U7" s="1"/>
      <c r="V7" s="1"/>
      <c r="W7" s="1"/>
      <c r="X7" s="1"/>
      <c r="Y7" s="1"/>
      <c r="Z7" s="1"/>
    </row>
    <row r="8" spans="1:26" ht="55.2">
      <c r="A8" s="3" t="s">
        <v>25</v>
      </c>
      <c r="B8" s="3" t="s">
        <v>26</v>
      </c>
      <c r="C8" s="3" t="s">
        <v>27</v>
      </c>
      <c r="D8" s="3" t="s">
        <v>28</v>
      </c>
      <c r="E8" s="1"/>
      <c r="F8" s="1"/>
      <c r="G8" s="1"/>
      <c r="H8" s="1"/>
      <c r="I8" s="1"/>
      <c r="J8" s="1"/>
      <c r="K8" s="1"/>
      <c r="L8" s="1"/>
      <c r="M8" s="1"/>
      <c r="N8" s="1"/>
      <c r="O8" s="1"/>
      <c r="P8" s="1"/>
      <c r="Q8" s="1"/>
      <c r="R8" s="1"/>
      <c r="S8" s="1"/>
      <c r="T8" s="1"/>
      <c r="U8" s="1"/>
      <c r="V8" s="1"/>
      <c r="W8" s="1"/>
      <c r="X8" s="1"/>
      <c r="Y8" s="1"/>
      <c r="Z8" s="1"/>
    </row>
    <row r="9" spans="1:26" ht="193.2">
      <c r="A9" s="3" t="s">
        <v>29</v>
      </c>
      <c r="B9" s="8" t="s">
        <v>30</v>
      </c>
      <c r="C9" s="1"/>
      <c r="D9" s="3" t="s">
        <v>31</v>
      </c>
      <c r="E9" s="1"/>
      <c r="F9" s="1"/>
      <c r="G9" s="1"/>
      <c r="H9" s="1"/>
      <c r="I9" s="1"/>
      <c r="J9" s="1"/>
      <c r="K9" s="1"/>
      <c r="L9" s="1"/>
      <c r="M9" s="1"/>
      <c r="N9" s="1"/>
      <c r="O9" s="1"/>
      <c r="P9" s="1"/>
      <c r="Q9" s="1"/>
      <c r="R9" s="1"/>
      <c r="S9" s="1"/>
      <c r="T9" s="1"/>
      <c r="U9" s="1"/>
      <c r="V9" s="1"/>
      <c r="W9" s="1"/>
      <c r="X9" s="1"/>
      <c r="Y9" s="1"/>
      <c r="Z9" s="1"/>
    </row>
    <row r="10" spans="1:26" ht="358.8">
      <c r="A10" s="3" t="s">
        <v>32</v>
      </c>
      <c r="B10" s="3" t="s">
        <v>33</v>
      </c>
      <c r="C10" s="5" t="s">
        <v>34</v>
      </c>
      <c r="D10" s="5" t="s">
        <v>35</v>
      </c>
      <c r="E10" s="1"/>
      <c r="F10" s="1"/>
      <c r="G10" s="1"/>
      <c r="H10" s="1"/>
      <c r="I10" s="1"/>
      <c r="J10" s="1"/>
      <c r="K10" s="1"/>
      <c r="L10" s="1"/>
      <c r="M10" s="1"/>
      <c r="N10" s="1"/>
      <c r="O10" s="1"/>
      <c r="P10" s="1"/>
      <c r="Q10" s="1"/>
      <c r="R10" s="1"/>
      <c r="S10" s="1"/>
      <c r="T10" s="1"/>
      <c r="U10" s="1"/>
      <c r="V10" s="1"/>
      <c r="W10" s="1"/>
      <c r="X10" s="1"/>
      <c r="Y10" s="1"/>
      <c r="Z10" s="1"/>
    </row>
    <row r="11" spans="1:26" ht="129.75" customHeight="1">
      <c r="A11" s="3" t="s">
        <v>36</v>
      </c>
      <c r="B11" s="3" t="s">
        <v>37</v>
      </c>
      <c r="C11" s="5" t="s">
        <v>38</v>
      </c>
      <c r="D11" s="5" t="s">
        <v>39</v>
      </c>
      <c r="E11" s="1"/>
      <c r="F11" s="1"/>
      <c r="G11" s="1"/>
      <c r="H11" s="1"/>
      <c r="I11" s="1"/>
      <c r="J11" s="1"/>
      <c r="K11" s="1"/>
      <c r="L11" s="1"/>
      <c r="M11" s="1"/>
      <c r="N11" s="1"/>
      <c r="O11" s="1"/>
      <c r="P11" s="1"/>
      <c r="Q11" s="1"/>
      <c r="R11" s="1"/>
      <c r="S11" s="1"/>
      <c r="T11" s="1"/>
      <c r="U11" s="1"/>
      <c r="V11" s="1"/>
      <c r="W11" s="1"/>
      <c r="X11" s="1"/>
      <c r="Y11" s="1"/>
      <c r="Z11" s="1"/>
    </row>
    <row r="12" spans="1:26" ht="179.4">
      <c r="A12" s="3" t="s">
        <v>40</v>
      </c>
      <c r="B12" s="3" t="s">
        <v>41</v>
      </c>
      <c r="C12" s="3" t="s">
        <v>42</v>
      </c>
      <c r="D12" s="5" t="s">
        <v>43</v>
      </c>
      <c r="E12" s="1"/>
      <c r="F12" s="1"/>
      <c r="G12" s="1"/>
      <c r="H12" s="1"/>
      <c r="I12" s="1"/>
      <c r="J12" s="1"/>
      <c r="K12" s="1"/>
      <c r="L12" s="1"/>
      <c r="M12" s="1"/>
      <c r="N12" s="1"/>
      <c r="O12" s="1"/>
      <c r="P12" s="1"/>
      <c r="Q12" s="1"/>
      <c r="R12" s="1"/>
      <c r="S12" s="1"/>
      <c r="T12" s="1"/>
      <c r="U12" s="1"/>
      <c r="V12" s="1"/>
      <c r="W12" s="1"/>
      <c r="X12" s="1"/>
      <c r="Y12" s="1"/>
      <c r="Z12" s="1"/>
    </row>
    <row r="13" spans="1:26" ht="165.6">
      <c r="A13" s="3" t="s">
        <v>44</v>
      </c>
      <c r="B13" s="3" t="s">
        <v>45</v>
      </c>
      <c r="C13" s="5" t="s">
        <v>46</v>
      </c>
      <c r="D13" s="5" t="s">
        <v>47</v>
      </c>
      <c r="E13" s="1"/>
      <c r="F13" s="1"/>
      <c r="G13" s="1"/>
      <c r="H13" s="1"/>
      <c r="I13" s="1"/>
      <c r="J13" s="1"/>
      <c r="K13" s="1"/>
      <c r="L13" s="1"/>
      <c r="M13" s="1"/>
      <c r="N13" s="1"/>
      <c r="O13" s="1"/>
      <c r="P13" s="1"/>
      <c r="Q13" s="1"/>
      <c r="R13" s="1"/>
      <c r="S13" s="1"/>
      <c r="T13" s="1"/>
      <c r="U13" s="1"/>
      <c r="V13" s="1"/>
      <c r="W13" s="1"/>
      <c r="X13" s="1"/>
      <c r="Y13" s="1"/>
      <c r="Z13" s="1"/>
    </row>
    <row r="14" spans="1:26" ht="193.2">
      <c r="A14" s="3" t="s">
        <v>48</v>
      </c>
      <c r="B14" s="3" t="s">
        <v>49</v>
      </c>
      <c r="C14" s="5" t="s">
        <v>50</v>
      </c>
      <c r="D14" s="5" t="s">
        <v>51</v>
      </c>
      <c r="E14" s="1"/>
      <c r="F14" s="1"/>
      <c r="G14" s="1"/>
      <c r="H14" s="1"/>
      <c r="I14" s="1"/>
      <c r="J14" s="1"/>
      <c r="K14" s="1"/>
      <c r="L14" s="1"/>
      <c r="M14" s="1"/>
      <c r="N14" s="1"/>
      <c r="O14" s="1"/>
      <c r="P14" s="1"/>
      <c r="Q14" s="1"/>
      <c r="R14" s="1"/>
      <c r="S14" s="1"/>
      <c r="T14" s="1"/>
      <c r="U14" s="1"/>
      <c r="V14" s="1"/>
      <c r="W14" s="1"/>
      <c r="X14" s="1"/>
      <c r="Y14" s="1"/>
      <c r="Z14" s="1"/>
    </row>
    <row r="15" spans="1:26" ht="386.4">
      <c r="A15" s="3" t="s">
        <v>52</v>
      </c>
      <c r="B15" s="3" t="s">
        <v>53</v>
      </c>
      <c r="C15" s="3" t="s">
        <v>54</v>
      </c>
      <c r="D15" s="5" t="s">
        <v>55</v>
      </c>
      <c r="E15" s="1"/>
      <c r="F15" s="1"/>
      <c r="G15" s="1"/>
      <c r="H15" s="1"/>
      <c r="I15" s="1"/>
      <c r="J15" s="1"/>
      <c r="K15" s="1"/>
      <c r="L15" s="1"/>
      <c r="M15" s="1"/>
      <c r="N15" s="1"/>
      <c r="O15" s="1"/>
      <c r="P15" s="1"/>
      <c r="Q15" s="1"/>
      <c r="R15" s="1"/>
      <c r="S15" s="1"/>
      <c r="T15" s="1"/>
      <c r="U15" s="1"/>
      <c r="V15" s="1"/>
      <c r="W15" s="1"/>
      <c r="X15" s="1"/>
      <c r="Y15" s="1"/>
      <c r="Z15" s="1"/>
    </row>
    <row r="16" spans="1:26" ht="409.6">
      <c r="A16" s="3" t="s">
        <v>56</v>
      </c>
      <c r="B16" s="3" t="s">
        <v>57</v>
      </c>
      <c r="C16" s="5" t="s">
        <v>58</v>
      </c>
      <c r="D16" s="5" t="s">
        <v>59</v>
      </c>
      <c r="E16" s="1"/>
      <c r="F16" s="1"/>
      <c r="G16" s="1"/>
      <c r="H16" s="1"/>
      <c r="I16" s="1"/>
      <c r="J16" s="1"/>
      <c r="K16" s="1"/>
      <c r="L16" s="1"/>
      <c r="M16" s="1"/>
      <c r="N16" s="1"/>
      <c r="O16" s="1"/>
      <c r="P16" s="1"/>
      <c r="Q16" s="1"/>
      <c r="R16" s="1"/>
      <c r="S16" s="1"/>
      <c r="T16" s="1"/>
      <c r="U16" s="1"/>
      <c r="V16" s="1"/>
      <c r="W16" s="1"/>
      <c r="X16" s="1"/>
      <c r="Y16" s="1"/>
      <c r="Z16" s="1"/>
    </row>
    <row r="17" spans="1:26" ht="69">
      <c r="A17" s="3" t="s">
        <v>60</v>
      </c>
      <c r="B17" s="3" t="s">
        <v>61</v>
      </c>
      <c r="C17" s="5" t="s">
        <v>62</v>
      </c>
      <c r="D17" s="5" t="s">
        <v>63</v>
      </c>
      <c r="E17" s="1"/>
      <c r="F17" s="1"/>
      <c r="G17" s="1"/>
      <c r="H17" s="1"/>
      <c r="I17" s="1"/>
      <c r="J17" s="1"/>
      <c r="K17" s="1"/>
      <c r="L17" s="1"/>
      <c r="M17" s="1"/>
      <c r="N17" s="1"/>
      <c r="O17" s="1"/>
      <c r="P17" s="1"/>
      <c r="Q17" s="1"/>
      <c r="R17" s="1"/>
      <c r="S17" s="1"/>
      <c r="T17" s="1"/>
      <c r="U17" s="1"/>
      <c r="V17" s="1"/>
      <c r="W17" s="1"/>
      <c r="X17" s="1"/>
      <c r="Y17" s="1"/>
      <c r="Z17" s="1"/>
    </row>
    <row r="18" spans="1:26" ht="55.2">
      <c r="A18" s="3" t="s">
        <v>64</v>
      </c>
      <c r="B18" s="5" t="s">
        <v>65</v>
      </c>
      <c r="C18" s="5" t="s">
        <v>66</v>
      </c>
      <c r="D18" s="3" t="s">
        <v>67</v>
      </c>
      <c r="E18" s="1"/>
      <c r="F18" s="1"/>
      <c r="G18" s="1"/>
      <c r="H18" s="1"/>
      <c r="I18" s="1"/>
      <c r="J18" s="1"/>
      <c r="K18" s="1"/>
      <c r="L18" s="1"/>
      <c r="M18" s="1"/>
      <c r="N18" s="1"/>
      <c r="O18" s="1"/>
      <c r="P18" s="1"/>
      <c r="Q18" s="1"/>
      <c r="R18" s="1"/>
      <c r="S18" s="1"/>
      <c r="T18" s="1"/>
      <c r="U18" s="1"/>
      <c r="V18" s="1"/>
      <c r="W18" s="1"/>
      <c r="X18" s="1"/>
      <c r="Y18" s="1"/>
      <c r="Z18" s="1"/>
    </row>
    <row r="19" spans="1:26" ht="69">
      <c r="A19" s="3" t="s">
        <v>68</v>
      </c>
      <c r="B19" s="5" t="s">
        <v>69</v>
      </c>
      <c r="C19" s="1"/>
      <c r="D19" s="1"/>
      <c r="E19" s="1"/>
      <c r="F19" s="1"/>
      <c r="G19" s="1"/>
      <c r="H19" s="1"/>
      <c r="I19" s="1"/>
      <c r="J19" s="1"/>
      <c r="K19" s="1"/>
      <c r="L19" s="1"/>
      <c r="M19" s="1"/>
      <c r="N19" s="1"/>
      <c r="O19" s="1"/>
      <c r="P19" s="1"/>
      <c r="Q19" s="1"/>
      <c r="R19" s="1"/>
      <c r="S19" s="1"/>
      <c r="T19" s="1"/>
      <c r="U19" s="1"/>
      <c r="V19" s="1"/>
      <c r="W19" s="1"/>
      <c r="X19" s="1"/>
      <c r="Y19" s="1"/>
      <c r="Z19" s="1"/>
    </row>
    <row r="20" spans="1:26" ht="13.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D1"/>
  </mergeCells>
  <hyperlinks>
    <hyperlink ref="D4" r:id="rId1"/>
    <hyperlink ref="A6" r:id="rId2" location="section-7"/>
    <hyperlink ref="C10" r:id="rId3"/>
    <hyperlink ref="D10" r:id="rId4"/>
    <hyperlink ref="C11" r:id="rId5"/>
    <hyperlink ref="D11" r:id="rId6"/>
    <hyperlink ref="D12" r:id="rId7"/>
    <hyperlink ref="C13" r:id="rId8"/>
    <hyperlink ref="D13" r:id="rId9"/>
    <hyperlink ref="C14" r:id="rId10"/>
    <hyperlink ref="D14" r:id="rId11"/>
    <hyperlink ref="D15" r:id="rId12"/>
    <hyperlink ref="C16" r:id="rId13"/>
    <hyperlink ref="D16" r:id="rId14"/>
    <hyperlink ref="C17" r:id="rId15"/>
    <hyperlink ref="D17" r:id="rId16"/>
    <hyperlink ref="B18" r:id="rId17"/>
    <hyperlink ref="C18" r:id="rId18"/>
    <hyperlink ref="B19" r:id="rId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4"/>
  <sheetViews>
    <sheetView workbookViewId="0"/>
  </sheetViews>
  <sheetFormatPr defaultColWidth="12.6640625" defaultRowHeight="15.75" customHeight="1"/>
  <cols>
    <col min="1" max="1" width="7.6640625" customWidth="1"/>
    <col min="2" max="2" width="15.33203125" customWidth="1"/>
    <col min="3" max="3" width="23" customWidth="1"/>
    <col min="4" max="4" width="12.6640625" hidden="1"/>
    <col min="5" max="5" width="34.77734375" customWidth="1"/>
    <col min="6" max="6" width="74.33203125" customWidth="1"/>
    <col min="7" max="7" width="42.109375" customWidth="1"/>
    <col min="8" max="8" width="23" customWidth="1"/>
    <col min="9" max="9" width="26.77734375" customWidth="1"/>
  </cols>
  <sheetData>
    <row r="1" spans="1:26">
      <c r="A1" s="9"/>
      <c r="B1" s="10" t="s">
        <v>70</v>
      </c>
      <c r="C1" s="10" t="s">
        <v>71</v>
      </c>
      <c r="D1" s="10" t="s">
        <v>72</v>
      </c>
      <c r="E1" s="10" t="s">
        <v>73</v>
      </c>
      <c r="F1" s="10" t="s">
        <v>74</v>
      </c>
      <c r="G1" s="10" t="s">
        <v>75</v>
      </c>
      <c r="H1" s="10" t="s">
        <v>76</v>
      </c>
      <c r="I1" s="10" t="s">
        <v>77</v>
      </c>
      <c r="J1" s="11"/>
      <c r="K1" s="11"/>
      <c r="L1" s="11"/>
      <c r="M1" s="11"/>
      <c r="N1" s="11"/>
      <c r="O1" s="11"/>
      <c r="P1" s="11"/>
      <c r="Q1" s="11"/>
      <c r="R1" s="11"/>
      <c r="S1" s="11"/>
      <c r="T1" s="11"/>
      <c r="U1" s="11"/>
      <c r="V1" s="11"/>
      <c r="W1" s="11"/>
      <c r="X1" s="11"/>
      <c r="Y1" s="11"/>
      <c r="Z1" s="11"/>
    </row>
    <row r="2" spans="1:26">
      <c r="A2" s="12">
        <v>1</v>
      </c>
      <c r="B2" s="13" t="s">
        <v>78</v>
      </c>
      <c r="C2" s="14" t="s">
        <v>79</v>
      </c>
      <c r="D2" s="15"/>
      <c r="E2" s="16" t="s">
        <v>80</v>
      </c>
      <c r="F2" s="17" t="s">
        <v>81</v>
      </c>
      <c r="G2" s="18" t="s">
        <v>82</v>
      </c>
      <c r="H2" s="19"/>
      <c r="I2" s="20"/>
      <c r="J2" s="11"/>
      <c r="K2" s="11"/>
      <c r="L2" s="11"/>
      <c r="M2" s="11"/>
      <c r="N2" s="11"/>
      <c r="O2" s="11"/>
      <c r="P2" s="11"/>
      <c r="Q2" s="11"/>
      <c r="R2" s="11"/>
      <c r="S2" s="11"/>
      <c r="T2" s="11"/>
      <c r="U2" s="11"/>
      <c r="V2" s="11"/>
      <c r="W2" s="11"/>
      <c r="X2" s="11"/>
      <c r="Y2" s="11"/>
      <c r="Z2" s="11"/>
    </row>
    <row r="3" spans="1:26">
      <c r="A3" s="12">
        <v>2</v>
      </c>
      <c r="B3" s="21" t="s">
        <v>83</v>
      </c>
      <c r="C3" s="14" t="s">
        <v>84</v>
      </c>
      <c r="D3" s="15"/>
      <c r="E3" s="16" t="s">
        <v>85</v>
      </c>
      <c r="F3" s="17" t="s">
        <v>86</v>
      </c>
      <c r="G3" s="18" t="s">
        <v>87</v>
      </c>
      <c r="H3" s="19"/>
      <c r="I3" s="22"/>
      <c r="J3" s="11"/>
      <c r="K3" s="11"/>
      <c r="L3" s="11"/>
      <c r="M3" s="11"/>
      <c r="N3" s="11"/>
      <c r="O3" s="11"/>
      <c r="P3" s="11"/>
      <c r="Q3" s="11"/>
      <c r="R3" s="11"/>
      <c r="S3" s="11"/>
      <c r="T3" s="11"/>
      <c r="U3" s="11"/>
      <c r="V3" s="11"/>
      <c r="W3" s="11"/>
      <c r="X3" s="11"/>
      <c r="Y3" s="11"/>
      <c r="Z3" s="11"/>
    </row>
    <row r="4" spans="1:26">
      <c r="A4" s="12">
        <v>3</v>
      </c>
      <c r="B4" s="21" t="s">
        <v>88</v>
      </c>
      <c r="C4" s="14" t="s">
        <v>89</v>
      </c>
      <c r="D4" s="15"/>
      <c r="E4" s="16" t="s">
        <v>90</v>
      </c>
      <c r="F4" s="17" t="s">
        <v>91</v>
      </c>
      <c r="G4" s="23"/>
      <c r="H4" s="19"/>
      <c r="I4" s="11"/>
      <c r="J4" s="11"/>
      <c r="K4" s="11"/>
      <c r="L4" s="11"/>
      <c r="M4" s="11"/>
      <c r="N4" s="11"/>
      <c r="O4" s="11"/>
      <c r="P4" s="11"/>
      <c r="Q4" s="11"/>
      <c r="R4" s="11"/>
      <c r="S4" s="11"/>
      <c r="T4" s="11"/>
      <c r="U4" s="11"/>
      <c r="V4" s="11"/>
      <c r="W4" s="11"/>
      <c r="X4" s="11"/>
      <c r="Y4" s="11"/>
      <c r="Z4" s="11"/>
    </row>
    <row r="5" spans="1:26">
      <c r="A5" s="12">
        <v>4</v>
      </c>
      <c r="B5" s="21" t="s">
        <v>92</v>
      </c>
      <c r="C5" s="14" t="s">
        <v>93</v>
      </c>
      <c r="D5" s="15"/>
      <c r="E5" s="16" t="s">
        <v>94</v>
      </c>
      <c r="F5" s="24" t="s">
        <v>95</v>
      </c>
      <c r="G5" s="25" t="s">
        <v>96</v>
      </c>
      <c r="H5" s="19"/>
      <c r="I5" s="20"/>
      <c r="J5" s="11"/>
      <c r="K5" s="11"/>
      <c r="L5" s="11"/>
      <c r="M5" s="11"/>
      <c r="N5" s="11"/>
      <c r="O5" s="11"/>
      <c r="P5" s="11"/>
      <c r="Q5" s="11"/>
      <c r="R5" s="11"/>
      <c r="S5" s="11"/>
      <c r="T5" s="11"/>
      <c r="U5" s="11"/>
      <c r="V5" s="11"/>
      <c r="W5" s="11"/>
      <c r="X5" s="11"/>
      <c r="Y5" s="11"/>
      <c r="Z5" s="11"/>
    </row>
    <row r="6" spans="1:26">
      <c r="A6" s="12">
        <v>5</v>
      </c>
      <c r="B6" s="21" t="s">
        <v>97</v>
      </c>
      <c r="C6" s="14" t="s">
        <v>98</v>
      </c>
      <c r="D6" s="15"/>
      <c r="E6" s="16" t="s">
        <v>99</v>
      </c>
      <c r="F6" s="24" t="s">
        <v>100</v>
      </c>
      <c r="G6" s="23"/>
      <c r="H6" s="19"/>
      <c r="I6" s="20"/>
      <c r="J6" s="11"/>
      <c r="K6" s="11"/>
      <c r="L6" s="11"/>
      <c r="M6" s="11"/>
      <c r="N6" s="11"/>
      <c r="O6" s="11"/>
      <c r="P6" s="11"/>
      <c r="Q6" s="11"/>
      <c r="R6" s="11"/>
      <c r="S6" s="11"/>
      <c r="T6" s="11"/>
      <c r="U6" s="11"/>
      <c r="V6" s="11"/>
      <c r="W6" s="11"/>
      <c r="X6" s="11"/>
      <c r="Y6" s="11"/>
      <c r="Z6" s="11"/>
    </row>
    <row r="7" spans="1:26">
      <c r="A7" s="12">
        <v>6</v>
      </c>
      <c r="B7" s="21" t="s">
        <v>101</v>
      </c>
      <c r="C7" s="14" t="s">
        <v>102</v>
      </c>
      <c r="D7" s="15"/>
      <c r="E7" s="16" t="s">
        <v>103</v>
      </c>
      <c r="F7" s="24" t="s">
        <v>104</v>
      </c>
      <c r="G7" s="25" t="s">
        <v>105</v>
      </c>
      <c r="H7" s="19"/>
      <c r="I7" s="20"/>
      <c r="J7" s="11"/>
      <c r="K7" s="11"/>
      <c r="L7" s="11"/>
      <c r="M7" s="11"/>
      <c r="N7" s="11"/>
      <c r="O7" s="11"/>
      <c r="P7" s="11"/>
      <c r="Q7" s="11"/>
      <c r="R7" s="11"/>
      <c r="S7" s="11"/>
      <c r="T7" s="11"/>
      <c r="U7" s="11"/>
      <c r="V7" s="11"/>
      <c r="W7" s="11"/>
      <c r="X7" s="11"/>
      <c r="Y7" s="11"/>
      <c r="Z7" s="11"/>
    </row>
    <row r="8" spans="1:26">
      <c r="A8" s="12">
        <v>7</v>
      </c>
      <c r="B8" s="21" t="s">
        <v>106</v>
      </c>
      <c r="C8" s="14" t="s">
        <v>107</v>
      </c>
      <c r="D8" s="15"/>
      <c r="E8" s="26" t="s">
        <v>108</v>
      </c>
      <c r="F8" s="17" t="s">
        <v>109</v>
      </c>
      <c r="G8" s="18" t="s">
        <v>110</v>
      </c>
      <c r="H8" s="19"/>
      <c r="I8" s="11"/>
      <c r="J8" s="11"/>
      <c r="K8" s="11"/>
      <c r="L8" s="11"/>
      <c r="M8" s="11"/>
      <c r="N8" s="11"/>
      <c r="O8" s="11"/>
      <c r="P8" s="11"/>
      <c r="Q8" s="11"/>
      <c r="R8" s="11"/>
      <c r="S8" s="11"/>
      <c r="T8" s="11"/>
      <c r="U8" s="11"/>
      <c r="V8" s="11"/>
      <c r="W8" s="11"/>
      <c r="X8" s="11"/>
      <c r="Y8" s="11"/>
      <c r="Z8" s="11"/>
    </row>
    <row r="9" spans="1:26">
      <c r="A9" s="12">
        <v>8</v>
      </c>
      <c r="B9" s="21" t="s">
        <v>111</v>
      </c>
      <c r="C9" s="14" t="s">
        <v>112</v>
      </c>
      <c r="D9" s="15"/>
      <c r="E9" s="16" t="s">
        <v>113</v>
      </c>
      <c r="F9" s="24" t="s">
        <v>114</v>
      </c>
      <c r="G9" s="23"/>
      <c r="H9" s="19"/>
      <c r="I9" s="11"/>
      <c r="J9" s="11"/>
      <c r="K9" s="11"/>
      <c r="L9" s="11"/>
      <c r="M9" s="11"/>
      <c r="N9" s="11"/>
      <c r="O9" s="11"/>
      <c r="P9" s="11"/>
      <c r="Q9" s="11"/>
      <c r="R9" s="11"/>
      <c r="S9" s="11"/>
      <c r="T9" s="11"/>
      <c r="U9" s="11"/>
      <c r="V9" s="11"/>
      <c r="W9" s="11"/>
      <c r="X9" s="11"/>
      <c r="Y9" s="11"/>
      <c r="Z9" s="11"/>
    </row>
    <row r="10" spans="1:26">
      <c r="A10" s="12">
        <v>9</v>
      </c>
      <c r="B10" s="21" t="s">
        <v>115</v>
      </c>
      <c r="C10" s="14" t="s">
        <v>116</v>
      </c>
      <c r="D10" s="27"/>
      <c r="E10" s="16" t="s">
        <v>117</v>
      </c>
      <c r="F10" s="24" t="s">
        <v>118</v>
      </c>
      <c r="G10" s="23"/>
      <c r="I10" s="11"/>
      <c r="J10" s="11"/>
      <c r="K10" s="11"/>
      <c r="L10" s="11"/>
      <c r="M10" s="11"/>
      <c r="N10" s="11"/>
      <c r="O10" s="11"/>
      <c r="P10" s="11"/>
      <c r="Q10" s="11"/>
      <c r="R10" s="11"/>
      <c r="S10" s="11"/>
      <c r="T10" s="11"/>
      <c r="U10" s="11"/>
      <c r="V10" s="11"/>
      <c r="W10" s="11"/>
      <c r="X10" s="11"/>
      <c r="Y10" s="11"/>
      <c r="Z10" s="11"/>
    </row>
    <row r="11" spans="1:26">
      <c r="A11" s="12">
        <v>10</v>
      </c>
      <c r="B11" s="21" t="s">
        <v>119</v>
      </c>
      <c r="C11" s="14" t="s">
        <v>120</v>
      </c>
      <c r="D11" s="15"/>
      <c r="E11" s="16" t="s">
        <v>121</v>
      </c>
      <c r="F11" s="28" t="s">
        <v>122</v>
      </c>
      <c r="G11" s="29" t="s">
        <v>123</v>
      </c>
      <c r="H11" s="19"/>
      <c r="I11" s="11"/>
      <c r="J11" s="11"/>
      <c r="K11" s="11"/>
      <c r="L11" s="11"/>
      <c r="M11" s="11"/>
      <c r="N11" s="11"/>
      <c r="O11" s="11"/>
      <c r="P11" s="11"/>
      <c r="Q11" s="11"/>
      <c r="R11" s="11"/>
      <c r="S11" s="11"/>
      <c r="T11" s="11"/>
      <c r="U11" s="11"/>
      <c r="V11" s="11"/>
      <c r="W11" s="11"/>
      <c r="X11" s="11"/>
      <c r="Y11" s="11"/>
      <c r="Z11" s="11"/>
    </row>
    <row r="12" spans="1:26">
      <c r="A12" s="12">
        <v>11</v>
      </c>
      <c r="B12" s="21" t="s">
        <v>124</v>
      </c>
      <c r="C12" s="21" t="s">
        <v>125</v>
      </c>
      <c r="D12" s="15"/>
      <c r="E12" s="30" t="s">
        <v>126</v>
      </c>
      <c r="F12" s="24" t="s">
        <v>118</v>
      </c>
      <c r="G12" s="23"/>
      <c r="H12" s="11"/>
      <c r="I12" s="11"/>
      <c r="J12" s="11"/>
      <c r="K12" s="11"/>
      <c r="L12" s="11"/>
      <c r="M12" s="11"/>
      <c r="N12" s="11"/>
      <c r="O12" s="11"/>
      <c r="P12" s="11"/>
      <c r="Q12" s="11"/>
      <c r="R12" s="11"/>
      <c r="S12" s="11"/>
      <c r="T12" s="11"/>
      <c r="U12" s="11"/>
      <c r="V12" s="11"/>
      <c r="W12" s="11"/>
      <c r="X12" s="11"/>
      <c r="Y12" s="11"/>
      <c r="Z12" s="11"/>
    </row>
    <row r="13" spans="1:26">
      <c r="A13" s="12">
        <v>12</v>
      </c>
      <c r="B13" s="21" t="s">
        <v>127</v>
      </c>
      <c r="C13" s="21" t="s">
        <v>128</v>
      </c>
      <c r="D13" s="15"/>
      <c r="E13" s="30" t="s">
        <v>129</v>
      </c>
      <c r="F13" s="24" t="s">
        <v>130</v>
      </c>
      <c r="G13" s="24" t="s">
        <v>131</v>
      </c>
      <c r="H13" s="11"/>
      <c r="I13" s="11"/>
      <c r="J13" s="11"/>
      <c r="K13" s="11"/>
      <c r="L13" s="11"/>
      <c r="M13" s="11"/>
      <c r="N13" s="11"/>
      <c r="O13" s="11"/>
      <c r="P13" s="11"/>
      <c r="Q13" s="11"/>
      <c r="R13" s="11"/>
      <c r="S13" s="11"/>
      <c r="T13" s="11"/>
      <c r="U13" s="11"/>
      <c r="V13" s="11"/>
      <c r="W13" s="11"/>
      <c r="X13" s="11"/>
      <c r="Y13" s="11"/>
      <c r="Z13" s="11"/>
    </row>
    <row r="14" spans="1:26">
      <c r="A14" s="12">
        <v>13</v>
      </c>
      <c r="B14" s="21" t="s">
        <v>132</v>
      </c>
      <c r="C14" s="21" t="s">
        <v>133</v>
      </c>
      <c r="D14" s="15"/>
      <c r="E14" s="30" t="s">
        <v>134</v>
      </c>
      <c r="F14" s="17" t="s">
        <v>135</v>
      </c>
      <c r="G14" s="23"/>
      <c r="H14" s="11"/>
      <c r="I14" s="11"/>
      <c r="J14" s="11"/>
      <c r="K14" s="11"/>
      <c r="L14" s="11"/>
      <c r="M14" s="11"/>
      <c r="N14" s="11"/>
      <c r="O14" s="11"/>
      <c r="P14" s="11"/>
      <c r="Q14" s="11"/>
      <c r="R14" s="11"/>
      <c r="S14" s="11"/>
      <c r="T14" s="11"/>
      <c r="U14" s="11"/>
      <c r="V14" s="11"/>
      <c r="W14" s="11"/>
      <c r="X14" s="11"/>
      <c r="Y14" s="11"/>
      <c r="Z14" s="11"/>
    </row>
    <row r="15" spans="1:26">
      <c r="A15" s="12">
        <v>14</v>
      </c>
      <c r="B15" s="21" t="s">
        <v>136</v>
      </c>
      <c r="C15" s="21" t="s">
        <v>137</v>
      </c>
      <c r="D15" s="15"/>
      <c r="E15" s="31" t="s">
        <v>138</v>
      </c>
      <c r="F15" s="17" t="s">
        <v>139</v>
      </c>
      <c r="G15" s="23"/>
      <c r="H15" s="11"/>
      <c r="I15" s="11"/>
      <c r="J15" s="11"/>
      <c r="K15" s="11"/>
      <c r="L15" s="11"/>
      <c r="M15" s="11"/>
      <c r="N15" s="11"/>
      <c r="O15" s="11"/>
      <c r="P15" s="11"/>
      <c r="Q15" s="11"/>
      <c r="R15" s="11"/>
      <c r="S15" s="11"/>
      <c r="T15" s="11"/>
      <c r="U15" s="11"/>
      <c r="V15" s="11"/>
      <c r="W15" s="11"/>
      <c r="X15" s="11"/>
      <c r="Y15" s="11"/>
      <c r="Z15" s="11"/>
    </row>
    <row r="16" spans="1:26">
      <c r="A16" s="12">
        <v>15</v>
      </c>
      <c r="B16" s="21" t="s">
        <v>140</v>
      </c>
      <c r="C16" s="21" t="s">
        <v>141</v>
      </c>
      <c r="D16" s="15"/>
      <c r="E16" s="30" t="s">
        <v>142</v>
      </c>
      <c r="F16" s="24" t="s">
        <v>143</v>
      </c>
      <c r="G16" s="24" t="s">
        <v>144</v>
      </c>
      <c r="H16" s="11"/>
      <c r="I16" s="11"/>
      <c r="J16" s="11"/>
      <c r="K16" s="11"/>
      <c r="L16" s="11"/>
      <c r="M16" s="11"/>
      <c r="N16" s="11"/>
      <c r="O16" s="11"/>
      <c r="P16" s="11"/>
      <c r="Q16" s="11"/>
      <c r="R16" s="11"/>
      <c r="S16" s="11"/>
      <c r="T16" s="11"/>
      <c r="U16" s="11"/>
      <c r="V16" s="11"/>
      <c r="W16" s="11"/>
      <c r="X16" s="11"/>
      <c r="Y16" s="11"/>
      <c r="Z16" s="11"/>
    </row>
    <row r="17" spans="1:26">
      <c r="A17" s="20"/>
      <c r="B17" s="11"/>
      <c r="C17" s="20"/>
      <c r="D17" s="11"/>
      <c r="E17" s="11"/>
      <c r="F17" s="32"/>
      <c r="G17" s="20"/>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33"/>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33"/>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33"/>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33"/>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33"/>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33"/>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33"/>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33"/>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33"/>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33"/>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33"/>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33"/>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33"/>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33"/>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33"/>
      <c r="G32" s="33"/>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33"/>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33"/>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33"/>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33"/>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33"/>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33"/>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33"/>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33"/>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33"/>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33"/>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33"/>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33"/>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33"/>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33"/>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33"/>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33"/>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33"/>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33"/>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33"/>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33"/>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33"/>
      <c r="G53" s="11"/>
      <c r="H53" s="11"/>
      <c r="I53" s="11"/>
      <c r="J53" s="11"/>
      <c r="K53" s="11"/>
      <c r="L53" s="11"/>
      <c r="M53" s="11"/>
      <c r="N53" s="11"/>
      <c r="O53" s="11"/>
      <c r="P53" s="11"/>
      <c r="Q53" s="11"/>
      <c r="R53" s="11"/>
      <c r="S53" s="11"/>
      <c r="T53" s="11"/>
      <c r="U53" s="11"/>
      <c r="V53" s="11"/>
      <c r="W53" s="11"/>
      <c r="X53" s="11"/>
      <c r="Y53" s="11"/>
      <c r="Z53" s="11"/>
    </row>
    <row r="54" spans="1:26">
      <c r="A54" s="11"/>
      <c r="B54" s="11"/>
      <c r="C54" s="11"/>
      <c r="D54" s="11"/>
      <c r="E54" s="11"/>
      <c r="F54" s="33"/>
      <c r="G54" s="11"/>
      <c r="H54" s="11"/>
      <c r="I54" s="11"/>
      <c r="J54" s="11"/>
      <c r="K54" s="11"/>
      <c r="L54" s="11"/>
      <c r="M54" s="11"/>
      <c r="N54" s="11"/>
      <c r="O54" s="11"/>
      <c r="P54" s="11"/>
      <c r="Q54" s="11"/>
      <c r="R54" s="11"/>
      <c r="S54" s="11"/>
      <c r="T54" s="11"/>
      <c r="U54" s="11"/>
      <c r="V54" s="11"/>
      <c r="W54" s="11"/>
      <c r="X54" s="11"/>
      <c r="Y54" s="11"/>
      <c r="Z54" s="11"/>
    </row>
    <row r="55" spans="1:26">
      <c r="A55" s="11"/>
      <c r="B55" s="11"/>
      <c r="C55" s="11"/>
      <c r="D55" s="11"/>
      <c r="E55" s="11"/>
      <c r="F55" s="33"/>
      <c r="G55" s="11"/>
      <c r="H55" s="11"/>
      <c r="I55" s="11"/>
      <c r="J55" s="11"/>
      <c r="K55" s="11"/>
      <c r="L55" s="11"/>
      <c r="M55" s="11"/>
      <c r="N55" s="11"/>
      <c r="O55" s="11"/>
      <c r="P55" s="11"/>
      <c r="Q55" s="11"/>
      <c r="R55" s="11"/>
      <c r="S55" s="11"/>
      <c r="T55" s="11"/>
      <c r="U55" s="11"/>
      <c r="V55" s="11"/>
      <c r="W55" s="11"/>
      <c r="X55" s="11"/>
      <c r="Y55" s="11"/>
      <c r="Z55" s="11"/>
    </row>
    <row r="56" spans="1:26">
      <c r="A56" s="11"/>
      <c r="B56" s="11"/>
      <c r="C56" s="11"/>
      <c r="D56" s="11"/>
      <c r="E56" s="11"/>
      <c r="F56" s="33"/>
      <c r="G56" s="11"/>
      <c r="H56" s="11"/>
      <c r="I56" s="11"/>
      <c r="J56" s="11"/>
      <c r="K56" s="11"/>
      <c r="L56" s="11"/>
      <c r="M56" s="11"/>
      <c r="N56" s="11"/>
      <c r="O56" s="11"/>
      <c r="P56" s="11"/>
      <c r="Q56" s="11"/>
      <c r="R56" s="11"/>
      <c r="S56" s="11"/>
      <c r="T56" s="11"/>
      <c r="U56" s="11"/>
      <c r="V56" s="11"/>
      <c r="W56" s="11"/>
      <c r="X56" s="11"/>
      <c r="Y56" s="11"/>
      <c r="Z56" s="11"/>
    </row>
    <row r="57" spans="1:26">
      <c r="A57" s="11"/>
      <c r="B57" s="11"/>
      <c r="C57" s="11"/>
      <c r="D57" s="11"/>
      <c r="E57" s="11"/>
      <c r="F57" s="33"/>
      <c r="G57" s="11"/>
      <c r="H57" s="11"/>
      <c r="I57" s="11"/>
      <c r="J57" s="11"/>
      <c r="K57" s="11"/>
      <c r="L57" s="11"/>
      <c r="M57" s="11"/>
      <c r="N57" s="11"/>
      <c r="O57" s="11"/>
      <c r="P57" s="11"/>
      <c r="Q57" s="11"/>
      <c r="R57" s="11"/>
      <c r="S57" s="11"/>
      <c r="T57" s="11"/>
      <c r="U57" s="11"/>
      <c r="V57" s="11"/>
      <c r="W57" s="11"/>
      <c r="X57" s="11"/>
      <c r="Y57" s="11"/>
      <c r="Z57" s="11"/>
    </row>
    <row r="58" spans="1:26">
      <c r="A58" s="11"/>
      <c r="B58" s="11"/>
      <c r="C58" s="11"/>
      <c r="D58" s="11"/>
      <c r="E58" s="11"/>
      <c r="F58" s="33"/>
      <c r="G58" s="11"/>
      <c r="H58" s="11"/>
      <c r="I58" s="11"/>
      <c r="J58" s="11"/>
      <c r="K58" s="11"/>
      <c r="L58" s="11"/>
      <c r="M58" s="11"/>
      <c r="N58" s="11"/>
      <c r="O58" s="11"/>
      <c r="P58" s="11"/>
      <c r="Q58" s="11"/>
      <c r="R58" s="11"/>
      <c r="S58" s="11"/>
      <c r="T58" s="11"/>
      <c r="U58" s="11"/>
      <c r="V58" s="11"/>
      <c r="W58" s="11"/>
      <c r="X58" s="11"/>
      <c r="Y58" s="11"/>
      <c r="Z58" s="11"/>
    </row>
    <row r="59" spans="1:26">
      <c r="A59" s="11"/>
      <c r="B59" s="11"/>
      <c r="C59" s="11"/>
      <c r="D59" s="11"/>
      <c r="E59" s="11"/>
      <c r="F59" s="33"/>
      <c r="G59" s="11"/>
      <c r="H59" s="11"/>
      <c r="I59" s="11"/>
      <c r="J59" s="11"/>
      <c r="K59" s="11"/>
      <c r="L59" s="11"/>
      <c r="M59" s="11"/>
      <c r="N59" s="11"/>
      <c r="O59" s="11"/>
      <c r="P59" s="11"/>
      <c r="Q59" s="11"/>
      <c r="R59" s="11"/>
      <c r="S59" s="11"/>
      <c r="T59" s="11"/>
      <c r="U59" s="11"/>
      <c r="V59" s="11"/>
      <c r="W59" s="11"/>
      <c r="X59" s="11"/>
      <c r="Y59" s="11"/>
      <c r="Z59" s="11"/>
    </row>
    <row r="60" spans="1:26">
      <c r="A60" s="11"/>
      <c r="B60" s="11"/>
      <c r="C60" s="11"/>
      <c r="D60" s="11"/>
      <c r="E60" s="11"/>
      <c r="F60" s="33"/>
      <c r="G60" s="11"/>
      <c r="H60" s="11"/>
      <c r="I60" s="11"/>
      <c r="J60" s="11"/>
      <c r="K60" s="11"/>
      <c r="L60" s="11"/>
      <c r="M60" s="11"/>
      <c r="N60" s="11"/>
      <c r="O60" s="11"/>
      <c r="P60" s="11"/>
      <c r="Q60" s="11"/>
      <c r="R60" s="11"/>
      <c r="S60" s="11"/>
      <c r="T60" s="11"/>
      <c r="U60" s="11"/>
      <c r="V60" s="11"/>
      <c r="W60" s="11"/>
      <c r="X60" s="11"/>
      <c r="Y60" s="11"/>
      <c r="Z60" s="11"/>
    </row>
    <row r="61" spans="1:26">
      <c r="A61" s="11"/>
      <c r="B61" s="11"/>
      <c r="C61" s="11"/>
      <c r="D61" s="11"/>
      <c r="E61" s="11"/>
      <c r="F61" s="33"/>
      <c r="G61" s="11"/>
      <c r="H61" s="11"/>
      <c r="I61" s="11"/>
      <c r="J61" s="11"/>
      <c r="K61" s="11"/>
      <c r="L61" s="11"/>
      <c r="M61" s="11"/>
      <c r="N61" s="11"/>
      <c r="O61" s="11"/>
      <c r="P61" s="11"/>
      <c r="Q61" s="11"/>
      <c r="R61" s="11"/>
      <c r="S61" s="11"/>
      <c r="T61" s="11"/>
      <c r="U61" s="11"/>
      <c r="V61" s="11"/>
      <c r="W61" s="11"/>
      <c r="X61" s="11"/>
      <c r="Y61" s="11"/>
      <c r="Z61" s="11"/>
    </row>
    <row r="62" spans="1:26">
      <c r="A62" s="11"/>
      <c r="B62" s="11"/>
      <c r="C62" s="11"/>
      <c r="D62" s="11"/>
      <c r="E62" s="11"/>
      <c r="F62" s="33"/>
      <c r="G62" s="11"/>
      <c r="H62" s="11"/>
      <c r="I62" s="11"/>
      <c r="J62" s="11"/>
      <c r="K62" s="11"/>
      <c r="L62" s="11"/>
      <c r="M62" s="11"/>
      <c r="N62" s="11"/>
      <c r="O62" s="11"/>
      <c r="P62" s="11"/>
      <c r="Q62" s="11"/>
      <c r="R62" s="11"/>
      <c r="S62" s="11"/>
      <c r="T62" s="11"/>
      <c r="U62" s="11"/>
      <c r="V62" s="11"/>
      <c r="W62" s="11"/>
      <c r="X62" s="11"/>
      <c r="Y62" s="11"/>
      <c r="Z62" s="11"/>
    </row>
    <row r="63" spans="1:26">
      <c r="A63" s="11"/>
      <c r="B63" s="11"/>
      <c r="C63" s="11"/>
      <c r="D63" s="11"/>
      <c r="E63" s="11"/>
      <c r="F63" s="33"/>
      <c r="G63" s="11"/>
      <c r="H63" s="11"/>
      <c r="I63" s="11"/>
      <c r="J63" s="11"/>
      <c r="K63" s="11"/>
      <c r="L63" s="11"/>
      <c r="M63" s="11"/>
      <c r="N63" s="11"/>
      <c r="O63" s="11"/>
      <c r="P63" s="11"/>
      <c r="Q63" s="11"/>
      <c r="R63" s="11"/>
      <c r="S63" s="11"/>
      <c r="T63" s="11"/>
      <c r="U63" s="11"/>
      <c r="V63" s="11"/>
      <c r="W63" s="11"/>
      <c r="X63" s="11"/>
      <c r="Y63" s="11"/>
      <c r="Z63" s="11"/>
    </row>
    <row r="64" spans="1:26">
      <c r="A64" s="11"/>
      <c r="B64" s="11"/>
      <c r="C64" s="11"/>
      <c r="D64" s="11"/>
      <c r="E64" s="11"/>
      <c r="F64" s="33"/>
      <c r="G64" s="11"/>
      <c r="H64" s="11"/>
      <c r="I64" s="11"/>
      <c r="J64" s="11"/>
      <c r="K64" s="11"/>
      <c r="L64" s="11"/>
      <c r="M64" s="11"/>
      <c r="N64" s="11"/>
      <c r="O64" s="11"/>
      <c r="P64" s="11"/>
      <c r="Q64" s="11"/>
      <c r="R64" s="11"/>
      <c r="S64" s="11"/>
      <c r="T64" s="11"/>
      <c r="U64" s="11"/>
      <c r="V64" s="11"/>
      <c r="W64" s="11"/>
      <c r="X64" s="11"/>
      <c r="Y64" s="11"/>
      <c r="Z64" s="11"/>
    </row>
    <row r="65" spans="1:26">
      <c r="A65" s="11"/>
      <c r="B65" s="11"/>
      <c r="C65" s="11"/>
      <c r="D65" s="11"/>
      <c r="E65" s="11"/>
      <c r="F65" s="33"/>
      <c r="G65" s="11"/>
      <c r="H65" s="11"/>
      <c r="I65" s="11"/>
      <c r="J65" s="11"/>
      <c r="K65" s="11"/>
      <c r="L65" s="11"/>
      <c r="M65" s="11"/>
      <c r="N65" s="11"/>
      <c r="O65" s="11"/>
      <c r="P65" s="11"/>
      <c r="Q65" s="11"/>
      <c r="R65" s="11"/>
      <c r="S65" s="11"/>
      <c r="T65" s="11"/>
      <c r="U65" s="11"/>
      <c r="V65" s="11"/>
      <c r="W65" s="11"/>
      <c r="X65" s="11"/>
      <c r="Y65" s="11"/>
      <c r="Z65" s="11"/>
    </row>
    <row r="66" spans="1:26">
      <c r="A66" s="11"/>
      <c r="B66" s="11"/>
      <c r="C66" s="11"/>
      <c r="D66" s="11"/>
      <c r="E66" s="11"/>
      <c r="F66" s="33"/>
      <c r="G66" s="11"/>
      <c r="H66" s="11"/>
      <c r="I66" s="11"/>
      <c r="J66" s="11"/>
      <c r="K66" s="11"/>
      <c r="L66" s="11"/>
      <c r="M66" s="11"/>
      <c r="N66" s="11"/>
      <c r="O66" s="11"/>
      <c r="P66" s="11"/>
      <c r="Q66" s="11"/>
      <c r="R66" s="11"/>
      <c r="S66" s="11"/>
      <c r="T66" s="11"/>
      <c r="U66" s="11"/>
      <c r="V66" s="11"/>
      <c r="W66" s="11"/>
      <c r="X66" s="11"/>
      <c r="Y66" s="11"/>
      <c r="Z66" s="11"/>
    </row>
    <row r="67" spans="1:26">
      <c r="A67" s="11"/>
      <c r="B67" s="11"/>
      <c r="C67" s="11"/>
      <c r="D67" s="11"/>
      <c r="E67" s="11"/>
      <c r="F67" s="33"/>
      <c r="G67" s="11"/>
      <c r="H67" s="11"/>
      <c r="I67" s="11"/>
      <c r="J67" s="11"/>
      <c r="K67" s="11"/>
      <c r="L67" s="11"/>
      <c r="M67" s="11"/>
      <c r="N67" s="11"/>
      <c r="O67" s="11"/>
      <c r="P67" s="11"/>
      <c r="Q67" s="11"/>
      <c r="R67" s="11"/>
      <c r="S67" s="11"/>
      <c r="T67" s="11"/>
      <c r="U67" s="11"/>
      <c r="V67" s="11"/>
      <c r="W67" s="11"/>
      <c r="X67" s="11"/>
      <c r="Y67" s="11"/>
      <c r="Z67" s="11"/>
    </row>
    <row r="68" spans="1:26">
      <c r="A68" s="11"/>
      <c r="B68" s="11"/>
      <c r="C68" s="11"/>
      <c r="D68" s="11"/>
      <c r="E68" s="11"/>
      <c r="F68" s="33"/>
      <c r="G68" s="11"/>
      <c r="H68" s="11"/>
      <c r="I68" s="11"/>
      <c r="J68" s="11"/>
      <c r="K68" s="11"/>
      <c r="L68" s="11"/>
      <c r="M68" s="11"/>
      <c r="N68" s="11"/>
      <c r="O68" s="11"/>
      <c r="P68" s="11"/>
      <c r="Q68" s="11"/>
      <c r="R68" s="11"/>
      <c r="S68" s="11"/>
      <c r="T68" s="11"/>
      <c r="U68" s="11"/>
      <c r="V68" s="11"/>
      <c r="W68" s="11"/>
      <c r="X68" s="11"/>
      <c r="Y68" s="11"/>
      <c r="Z68" s="11"/>
    </row>
    <row r="69" spans="1:26">
      <c r="A69" s="11"/>
      <c r="B69" s="11"/>
      <c r="C69" s="11"/>
      <c r="D69" s="11"/>
      <c r="E69" s="11"/>
      <c r="F69" s="33"/>
      <c r="G69" s="11"/>
      <c r="H69" s="11"/>
      <c r="I69" s="11"/>
      <c r="J69" s="11"/>
      <c r="K69" s="11"/>
      <c r="L69" s="11"/>
      <c r="M69" s="11"/>
      <c r="N69" s="11"/>
      <c r="O69" s="11"/>
      <c r="P69" s="11"/>
      <c r="Q69" s="11"/>
      <c r="R69" s="11"/>
      <c r="S69" s="11"/>
      <c r="T69" s="11"/>
      <c r="U69" s="11"/>
      <c r="V69" s="11"/>
      <c r="W69" s="11"/>
      <c r="X69" s="11"/>
      <c r="Y69" s="11"/>
      <c r="Z69" s="11"/>
    </row>
    <row r="70" spans="1:26">
      <c r="A70" s="11"/>
      <c r="B70" s="11"/>
      <c r="C70" s="11"/>
      <c r="D70" s="11"/>
      <c r="E70" s="11"/>
      <c r="F70" s="33"/>
      <c r="G70" s="11"/>
      <c r="H70" s="11"/>
      <c r="I70" s="11"/>
      <c r="J70" s="11"/>
      <c r="K70" s="11"/>
      <c r="L70" s="11"/>
      <c r="M70" s="11"/>
      <c r="N70" s="11"/>
      <c r="O70" s="11"/>
      <c r="P70" s="11"/>
      <c r="Q70" s="11"/>
      <c r="R70" s="11"/>
      <c r="S70" s="11"/>
      <c r="T70" s="11"/>
      <c r="U70" s="11"/>
      <c r="V70" s="11"/>
      <c r="W70" s="11"/>
      <c r="X70" s="11"/>
      <c r="Y70" s="11"/>
      <c r="Z70" s="11"/>
    </row>
    <row r="71" spans="1:26">
      <c r="A71" s="11"/>
      <c r="B71" s="11"/>
      <c r="C71" s="11"/>
      <c r="D71" s="11"/>
      <c r="E71" s="11"/>
      <c r="F71" s="33"/>
      <c r="G71" s="11"/>
      <c r="H71" s="11"/>
      <c r="I71" s="11"/>
      <c r="J71" s="11"/>
      <c r="K71" s="11"/>
      <c r="L71" s="11"/>
      <c r="M71" s="11"/>
      <c r="N71" s="11"/>
      <c r="O71" s="11"/>
      <c r="P71" s="11"/>
      <c r="Q71" s="11"/>
      <c r="R71" s="11"/>
      <c r="S71" s="11"/>
      <c r="T71" s="11"/>
      <c r="U71" s="11"/>
      <c r="V71" s="11"/>
      <c r="W71" s="11"/>
      <c r="X71" s="11"/>
      <c r="Y71" s="11"/>
      <c r="Z71" s="11"/>
    </row>
    <row r="72" spans="1:26">
      <c r="A72" s="11"/>
      <c r="B72" s="11"/>
      <c r="C72" s="11"/>
      <c r="D72" s="11"/>
      <c r="E72" s="11"/>
      <c r="F72" s="33"/>
      <c r="G72" s="11"/>
      <c r="H72" s="11"/>
      <c r="I72" s="11"/>
      <c r="J72" s="11"/>
      <c r="K72" s="11"/>
      <c r="L72" s="11"/>
      <c r="M72" s="11"/>
      <c r="N72" s="11"/>
      <c r="O72" s="11"/>
      <c r="P72" s="11"/>
      <c r="Q72" s="11"/>
      <c r="R72" s="11"/>
      <c r="S72" s="11"/>
      <c r="T72" s="11"/>
      <c r="U72" s="11"/>
      <c r="V72" s="11"/>
      <c r="W72" s="11"/>
      <c r="X72" s="11"/>
      <c r="Y72" s="11"/>
      <c r="Z72" s="11"/>
    </row>
    <row r="73" spans="1:26">
      <c r="A73" s="11"/>
      <c r="B73" s="11"/>
      <c r="C73" s="11"/>
      <c r="D73" s="11"/>
      <c r="E73" s="11"/>
      <c r="F73" s="33"/>
      <c r="G73" s="11"/>
      <c r="H73" s="11"/>
      <c r="I73" s="11"/>
      <c r="J73" s="11"/>
      <c r="K73" s="11"/>
      <c r="L73" s="11"/>
      <c r="M73" s="11"/>
      <c r="N73" s="11"/>
      <c r="O73" s="11"/>
      <c r="P73" s="11"/>
      <c r="Q73" s="11"/>
      <c r="R73" s="11"/>
      <c r="S73" s="11"/>
      <c r="T73" s="11"/>
      <c r="U73" s="11"/>
      <c r="V73" s="11"/>
      <c r="W73" s="11"/>
      <c r="X73" s="11"/>
      <c r="Y73" s="11"/>
      <c r="Z73" s="11"/>
    </row>
    <row r="74" spans="1:26">
      <c r="A74" s="11"/>
      <c r="B74" s="11"/>
      <c r="C74" s="11"/>
      <c r="D74" s="11"/>
      <c r="E74" s="11"/>
      <c r="F74" s="33"/>
      <c r="G74" s="11"/>
      <c r="H74" s="11"/>
      <c r="I74" s="11"/>
      <c r="J74" s="11"/>
      <c r="K74" s="11"/>
      <c r="L74" s="11"/>
      <c r="M74" s="11"/>
      <c r="N74" s="11"/>
      <c r="O74" s="11"/>
      <c r="P74" s="11"/>
      <c r="Q74" s="11"/>
      <c r="R74" s="11"/>
      <c r="S74" s="11"/>
      <c r="T74" s="11"/>
      <c r="U74" s="11"/>
      <c r="V74" s="11"/>
      <c r="W74" s="11"/>
      <c r="X74" s="11"/>
      <c r="Y74" s="11"/>
      <c r="Z74" s="11"/>
    </row>
    <row r="75" spans="1:26">
      <c r="A75" s="11"/>
      <c r="B75" s="11"/>
      <c r="C75" s="11"/>
      <c r="D75" s="11"/>
      <c r="E75" s="11"/>
      <c r="F75" s="33"/>
      <c r="G75" s="11"/>
      <c r="H75" s="11"/>
      <c r="I75" s="11"/>
      <c r="J75" s="11"/>
      <c r="K75" s="11"/>
      <c r="L75" s="11"/>
      <c r="M75" s="11"/>
      <c r="N75" s="11"/>
      <c r="O75" s="11"/>
      <c r="P75" s="11"/>
      <c r="Q75" s="11"/>
      <c r="R75" s="11"/>
      <c r="S75" s="11"/>
      <c r="T75" s="11"/>
      <c r="U75" s="11"/>
      <c r="V75" s="11"/>
      <c r="W75" s="11"/>
      <c r="X75" s="11"/>
      <c r="Y75" s="11"/>
      <c r="Z75" s="11"/>
    </row>
    <row r="76" spans="1:26">
      <c r="A76" s="11"/>
      <c r="B76" s="11"/>
      <c r="C76" s="11"/>
      <c r="D76" s="11"/>
      <c r="E76" s="11"/>
      <c r="F76" s="33"/>
      <c r="G76" s="11"/>
      <c r="H76" s="11"/>
      <c r="I76" s="11"/>
      <c r="J76" s="11"/>
      <c r="K76" s="11"/>
      <c r="L76" s="11"/>
      <c r="M76" s="11"/>
      <c r="N76" s="11"/>
      <c r="O76" s="11"/>
      <c r="P76" s="11"/>
      <c r="Q76" s="11"/>
      <c r="R76" s="11"/>
      <c r="S76" s="11"/>
      <c r="T76" s="11"/>
      <c r="U76" s="11"/>
      <c r="V76" s="11"/>
      <c r="W76" s="11"/>
      <c r="X76" s="11"/>
      <c r="Y76" s="11"/>
      <c r="Z76" s="11"/>
    </row>
    <row r="77" spans="1:26">
      <c r="A77" s="11"/>
      <c r="B77" s="11"/>
      <c r="C77" s="11"/>
      <c r="D77" s="11"/>
      <c r="E77" s="11"/>
      <c r="F77" s="33"/>
      <c r="G77" s="11"/>
      <c r="H77" s="11"/>
      <c r="I77" s="11"/>
      <c r="J77" s="11"/>
      <c r="K77" s="11"/>
      <c r="L77" s="11"/>
      <c r="M77" s="11"/>
      <c r="N77" s="11"/>
      <c r="O77" s="11"/>
      <c r="P77" s="11"/>
      <c r="Q77" s="11"/>
      <c r="R77" s="11"/>
      <c r="S77" s="11"/>
      <c r="T77" s="11"/>
      <c r="U77" s="11"/>
      <c r="V77" s="11"/>
      <c r="W77" s="11"/>
      <c r="X77" s="11"/>
      <c r="Y77" s="11"/>
      <c r="Z77" s="11"/>
    </row>
    <row r="78" spans="1:26">
      <c r="A78" s="11"/>
      <c r="B78" s="11"/>
      <c r="C78" s="11"/>
      <c r="D78" s="11"/>
      <c r="E78" s="11"/>
      <c r="F78" s="33"/>
      <c r="G78" s="11"/>
      <c r="H78" s="11"/>
      <c r="I78" s="11"/>
      <c r="J78" s="11"/>
      <c r="K78" s="11"/>
      <c r="L78" s="11"/>
      <c r="M78" s="11"/>
      <c r="N78" s="11"/>
      <c r="O78" s="11"/>
      <c r="P78" s="11"/>
      <c r="Q78" s="11"/>
      <c r="R78" s="11"/>
      <c r="S78" s="11"/>
      <c r="T78" s="11"/>
      <c r="U78" s="11"/>
      <c r="V78" s="11"/>
      <c r="W78" s="11"/>
      <c r="X78" s="11"/>
      <c r="Y78" s="11"/>
      <c r="Z78" s="11"/>
    </row>
    <row r="79" spans="1:26">
      <c r="A79" s="11"/>
      <c r="B79" s="11"/>
      <c r="C79" s="11"/>
      <c r="D79" s="11"/>
      <c r="E79" s="11"/>
      <c r="F79" s="33"/>
      <c r="G79" s="11"/>
      <c r="H79" s="11"/>
      <c r="I79" s="11"/>
      <c r="J79" s="11"/>
      <c r="K79" s="11"/>
      <c r="L79" s="11"/>
      <c r="M79" s="11"/>
      <c r="N79" s="11"/>
      <c r="O79" s="11"/>
      <c r="P79" s="11"/>
      <c r="Q79" s="11"/>
      <c r="R79" s="11"/>
      <c r="S79" s="11"/>
      <c r="T79" s="11"/>
      <c r="U79" s="11"/>
      <c r="V79" s="11"/>
      <c r="W79" s="11"/>
      <c r="X79" s="11"/>
      <c r="Y79" s="11"/>
      <c r="Z79" s="11"/>
    </row>
    <row r="80" spans="1:26">
      <c r="A80" s="11"/>
      <c r="B80" s="11"/>
      <c r="C80" s="11"/>
      <c r="D80" s="11"/>
      <c r="E80" s="11"/>
      <c r="F80" s="33"/>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33"/>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33"/>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33"/>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33"/>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33"/>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33"/>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33"/>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33"/>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33"/>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33"/>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33"/>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33"/>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33"/>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33"/>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33"/>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33"/>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33"/>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33"/>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33"/>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33"/>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33"/>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33"/>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33"/>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33"/>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33"/>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33"/>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33"/>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33"/>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33"/>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33"/>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33"/>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33"/>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33"/>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33"/>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33"/>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33"/>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33"/>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33"/>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33"/>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33"/>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33"/>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33"/>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33"/>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33"/>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33"/>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33"/>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33"/>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33"/>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33"/>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33"/>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33"/>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33"/>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33"/>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33"/>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33"/>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33"/>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33"/>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33"/>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33"/>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33"/>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33"/>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33"/>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33"/>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33"/>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33"/>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33"/>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33"/>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33"/>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33"/>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33"/>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33"/>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33"/>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33"/>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33"/>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33"/>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33"/>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33"/>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33"/>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33"/>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33"/>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33"/>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33"/>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33"/>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33"/>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33"/>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33"/>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33"/>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33"/>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33"/>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33"/>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33"/>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33"/>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33"/>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33"/>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33"/>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33"/>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33"/>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33"/>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33"/>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33"/>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33"/>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33"/>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33"/>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33"/>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33"/>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33"/>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33"/>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33"/>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33"/>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33"/>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33"/>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33"/>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33"/>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33"/>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33"/>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33"/>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33"/>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33"/>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33"/>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33"/>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33"/>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33"/>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33"/>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33"/>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33"/>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33"/>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33"/>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33"/>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33"/>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33"/>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33"/>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33"/>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33"/>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33"/>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33"/>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33"/>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33"/>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33"/>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33"/>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33"/>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33"/>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33"/>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33"/>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33"/>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33"/>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33"/>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33"/>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33"/>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33"/>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33"/>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33"/>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33"/>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33"/>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33"/>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33"/>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33"/>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33"/>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33"/>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33"/>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33"/>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33"/>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33"/>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33"/>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33"/>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33"/>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33"/>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33"/>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33"/>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33"/>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33"/>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33"/>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33"/>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33"/>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33"/>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33"/>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33"/>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33"/>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33"/>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33"/>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33"/>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33"/>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33"/>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33"/>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33"/>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33"/>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33"/>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33"/>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33"/>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33"/>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33"/>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33"/>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33"/>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33"/>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33"/>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33"/>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33"/>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33"/>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33"/>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33"/>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33"/>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33"/>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33"/>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33"/>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33"/>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33"/>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33"/>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33"/>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33"/>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33"/>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33"/>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33"/>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33"/>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33"/>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33"/>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33"/>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33"/>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33"/>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33"/>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33"/>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33"/>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33"/>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33"/>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33"/>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33"/>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33"/>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33"/>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33"/>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33"/>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33"/>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33"/>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33"/>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33"/>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33"/>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33"/>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33"/>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33"/>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33"/>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33"/>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33"/>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33"/>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33"/>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33"/>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33"/>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33"/>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33"/>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33"/>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33"/>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33"/>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33"/>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33"/>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33"/>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33"/>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33"/>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33"/>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33"/>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33"/>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33"/>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33"/>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33"/>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33"/>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33"/>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33"/>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33"/>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33"/>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33"/>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33"/>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33"/>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33"/>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33"/>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33"/>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33"/>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33"/>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33"/>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33"/>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33"/>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33"/>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33"/>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33"/>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33"/>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33"/>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33"/>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33"/>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33"/>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33"/>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33"/>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33"/>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33"/>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33"/>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33"/>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33"/>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33"/>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33"/>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33"/>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33"/>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33"/>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33"/>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33"/>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33"/>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33"/>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33"/>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33"/>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33"/>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33"/>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33"/>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33"/>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33"/>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33"/>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33"/>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33"/>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33"/>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33"/>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33"/>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33"/>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33"/>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33"/>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33"/>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33"/>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33"/>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33"/>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33"/>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33"/>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33"/>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33"/>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33"/>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33"/>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33"/>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33"/>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33"/>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33"/>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33"/>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33"/>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33"/>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33"/>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33"/>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33"/>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33"/>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33"/>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33"/>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33"/>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33"/>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33"/>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33"/>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33"/>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33"/>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33"/>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33"/>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33"/>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33"/>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33"/>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33"/>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33"/>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33"/>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33"/>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33"/>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33"/>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33"/>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33"/>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33"/>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33"/>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33"/>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33"/>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33"/>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33"/>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33"/>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33"/>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33"/>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33"/>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33"/>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33"/>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33"/>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33"/>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33"/>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33"/>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33"/>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33"/>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33"/>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33"/>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33"/>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33"/>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33"/>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33"/>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33"/>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33"/>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33"/>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33"/>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33"/>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33"/>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33"/>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33"/>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33"/>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33"/>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33"/>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33"/>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33"/>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33"/>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33"/>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33"/>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33"/>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33"/>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33"/>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33"/>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33"/>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33"/>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33"/>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33"/>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33"/>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33"/>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33"/>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33"/>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33"/>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33"/>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33"/>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33"/>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33"/>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33"/>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33"/>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33"/>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33"/>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33"/>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33"/>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33"/>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33"/>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33"/>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33"/>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33"/>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33"/>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33"/>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33"/>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33"/>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33"/>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33"/>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33"/>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33"/>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33"/>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33"/>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33"/>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33"/>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33"/>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33"/>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33"/>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33"/>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33"/>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33"/>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33"/>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33"/>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33"/>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33"/>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33"/>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33"/>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33"/>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33"/>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33"/>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33"/>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33"/>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33"/>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33"/>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33"/>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33"/>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33"/>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33"/>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33"/>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33"/>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33"/>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33"/>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33"/>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33"/>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33"/>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33"/>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33"/>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33"/>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33"/>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33"/>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33"/>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33"/>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33"/>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33"/>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33"/>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33"/>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33"/>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33"/>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33"/>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33"/>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33"/>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33"/>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33"/>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33"/>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33"/>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33"/>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33"/>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33"/>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33"/>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33"/>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33"/>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33"/>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33"/>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33"/>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33"/>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33"/>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33"/>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33"/>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33"/>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33"/>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33"/>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33"/>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33"/>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33"/>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33"/>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33"/>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33"/>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33"/>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33"/>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33"/>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33"/>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33"/>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33"/>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33"/>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33"/>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33"/>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33"/>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33"/>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33"/>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33"/>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33"/>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33"/>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33"/>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33"/>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33"/>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33"/>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33"/>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33"/>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33"/>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33"/>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33"/>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33"/>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33"/>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33"/>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33"/>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33"/>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33"/>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33"/>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33"/>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33"/>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33"/>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33"/>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33"/>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33"/>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33"/>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33"/>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33"/>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33"/>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33"/>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33"/>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33"/>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33"/>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33"/>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33"/>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33"/>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33"/>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33"/>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33"/>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33"/>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33"/>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33"/>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33"/>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33"/>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33"/>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33"/>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33"/>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33"/>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33"/>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33"/>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33"/>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33"/>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33"/>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33"/>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33"/>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33"/>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33"/>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33"/>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33"/>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33"/>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33"/>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33"/>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33"/>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33"/>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33"/>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33"/>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33"/>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33"/>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33"/>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33"/>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33"/>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33"/>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33"/>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33"/>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33"/>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33"/>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33"/>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33"/>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33"/>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33"/>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33"/>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33"/>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33"/>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33"/>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33"/>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33"/>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33"/>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33"/>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33"/>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33"/>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33"/>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33"/>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33"/>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33"/>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33"/>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33"/>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33"/>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33"/>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33"/>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33"/>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33"/>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33"/>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33"/>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33"/>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33"/>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33"/>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33"/>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33"/>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33"/>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33"/>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33"/>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33"/>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33"/>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33"/>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33"/>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33"/>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33"/>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33"/>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33"/>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33"/>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33"/>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33"/>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33"/>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33"/>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33"/>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33"/>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33"/>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33"/>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33"/>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33"/>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33"/>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33"/>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33"/>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33"/>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33"/>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33"/>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33"/>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33"/>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33"/>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33"/>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33"/>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33"/>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33"/>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33"/>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33"/>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33"/>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33"/>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33"/>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33"/>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33"/>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33"/>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33"/>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33"/>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33"/>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33"/>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33"/>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33"/>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33"/>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33"/>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33"/>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33"/>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33"/>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33"/>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33"/>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33"/>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33"/>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33"/>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33"/>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33"/>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33"/>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33"/>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33"/>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33"/>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33"/>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33"/>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33"/>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33"/>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33"/>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33"/>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33"/>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33"/>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33"/>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33"/>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33"/>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33"/>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33"/>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33"/>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33"/>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33"/>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33"/>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33"/>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33"/>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33"/>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33"/>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33"/>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33"/>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33"/>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33"/>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33"/>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33"/>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33"/>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33"/>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33"/>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33"/>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33"/>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33"/>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33"/>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33"/>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33"/>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33"/>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33"/>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33"/>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33"/>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33"/>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33"/>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33"/>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33"/>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33"/>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33"/>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33"/>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33"/>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33"/>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33"/>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33"/>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33"/>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33"/>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33"/>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33"/>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33"/>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33"/>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33"/>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33"/>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33"/>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33"/>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33"/>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33"/>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33"/>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33"/>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33"/>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33"/>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33"/>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33"/>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33"/>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33"/>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33"/>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33"/>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33"/>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33"/>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33"/>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33"/>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33"/>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33"/>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33"/>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33"/>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33"/>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33"/>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33"/>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33"/>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33"/>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33"/>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33"/>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33"/>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33"/>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33"/>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33"/>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33"/>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33"/>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33"/>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33"/>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33"/>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33"/>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33"/>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33"/>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33"/>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33"/>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33"/>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33"/>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33"/>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33"/>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33"/>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33"/>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33"/>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33"/>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33"/>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33"/>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33"/>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33"/>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33"/>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33"/>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33"/>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33"/>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33"/>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33"/>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33"/>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33"/>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33"/>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33"/>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33"/>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33"/>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33"/>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33"/>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33"/>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33"/>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33"/>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33"/>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33"/>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33"/>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33"/>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33"/>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33"/>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33"/>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33"/>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33"/>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33"/>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33"/>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33"/>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33"/>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33"/>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33"/>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33"/>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33"/>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33"/>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33"/>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33"/>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33"/>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33"/>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33"/>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33"/>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33"/>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33"/>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33"/>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33"/>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33"/>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33"/>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33"/>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33"/>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33"/>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33"/>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33"/>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33"/>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33"/>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33"/>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33"/>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33"/>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33"/>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33"/>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33"/>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33"/>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33"/>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33"/>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33"/>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33"/>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33"/>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33"/>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33"/>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33"/>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33"/>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33"/>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33"/>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33"/>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33"/>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33"/>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33"/>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33"/>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33"/>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33"/>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33"/>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33"/>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33"/>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33"/>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33"/>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33"/>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33"/>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33"/>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33"/>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33"/>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33"/>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33"/>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33"/>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33"/>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33"/>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33"/>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33"/>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33"/>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33"/>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33"/>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33"/>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33"/>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33"/>
      <c r="G990" s="11"/>
      <c r="H990" s="11"/>
      <c r="I990" s="11"/>
      <c r="J990" s="11"/>
      <c r="K990" s="11"/>
      <c r="L990" s="11"/>
      <c r="M990" s="11"/>
      <c r="N990" s="11"/>
      <c r="O990" s="11"/>
      <c r="P990" s="11"/>
      <c r="Q990" s="11"/>
      <c r="R990" s="11"/>
      <c r="S990" s="11"/>
      <c r="T990" s="11"/>
      <c r="U990" s="11"/>
      <c r="V990" s="11"/>
      <c r="W990" s="11"/>
      <c r="X990" s="11"/>
      <c r="Y990" s="11"/>
      <c r="Z990" s="11"/>
    </row>
    <row r="991" spans="1:26">
      <c r="A991" s="11"/>
      <c r="B991" s="11"/>
      <c r="C991" s="11"/>
      <c r="D991" s="11"/>
      <c r="E991" s="11"/>
      <c r="F991" s="33"/>
      <c r="G991" s="11"/>
      <c r="H991" s="11"/>
      <c r="I991" s="11"/>
      <c r="J991" s="11"/>
      <c r="K991" s="11"/>
      <c r="L991" s="11"/>
      <c r="M991" s="11"/>
      <c r="N991" s="11"/>
      <c r="O991" s="11"/>
      <c r="P991" s="11"/>
      <c r="Q991" s="11"/>
      <c r="R991" s="11"/>
      <c r="S991" s="11"/>
      <c r="T991" s="11"/>
      <c r="U991" s="11"/>
      <c r="V991" s="11"/>
      <c r="W991" s="11"/>
      <c r="X991" s="11"/>
      <c r="Y991" s="11"/>
      <c r="Z991" s="11"/>
    </row>
    <row r="992" spans="1:26">
      <c r="A992" s="11"/>
      <c r="B992" s="11"/>
      <c r="C992" s="11"/>
      <c r="D992" s="11"/>
      <c r="E992" s="11"/>
      <c r="F992" s="33"/>
      <c r="G992" s="11"/>
      <c r="H992" s="11"/>
      <c r="I992" s="11"/>
      <c r="J992" s="11"/>
      <c r="K992" s="11"/>
      <c r="L992" s="11"/>
      <c r="M992" s="11"/>
      <c r="N992" s="11"/>
      <c r="O992" s="11"/>
      <c r="P992" s="11"/>
      <c r="Q992" s="11"/>
      <c r="R992" s="11"/>
      <c r="S992" s="11"/>
      <c r="T992" s="11"/>
      <c r="U992" s="11"/>
      <c r="V992" s="11"/>
      <c r="W992" s="11"/>
      <c r="X992" s="11"/>
      <c r="Y992" s="11"/>
      <c r="Z992" s="11"/>
    </row>
    <row r="993" spans="1:26">
      <c r="A993" s="11"/>
      <c r="B993" s="11"/>
      <c r="C993" s="11"/>
      <c r="D993" s="11"/>
      <c r="E993" s="11"/>
      <c r="F993" s="33"/>
      <c r="G993" s="11"/>
      <c r="H993" s="11"/>
      <c r="I993" s="11"/>
      <c r="J993" s="11"/>
      <c r="K993" s="11"/>
      <c r="L993" s="11"/>
      <c r="M993" s="11"/>
      <c r="N993" s="11"/>
      <c r="O993" s="11"/>
      <c r="P993" s="11"/>
      <c r="Q993" s="11"/>
      <c r="R993" s="11"/>
      <c r="S993" s="11"/>
      <c r="T993" s="11"/>
      <c r="U993" s="11"/>
      <c r="V993" s="11"/>
      <c r="W993" s="11"/>
      <c r="X993" s="11"/>
      <c r="Y993" s="11"/>
      <c r="Z993" s="11"/>
    </row>
    <row r="994" spans="1:26">
      <c r="A994" s="11"/>
      <c r="B994" s="11"/>
      <c r="C994" s="11"/>
      <c r="D994" s="11"/>
      <c r="E994" s="11"/>
      <c r="F994" s="33"/>
      <c r="G994" s="11"/>
      <c r="H994" s="11"/>
      <c r="I994" s="11"/>
      <c r="J994" s="11"/>
      <c r="K994" s="11"/>
      <c r="L994" s="11"/>
      <c r="M994" s="11"/>
      <c r="N994" s="11"/>
      <c r="O994" s="11"/>
      <c r="P994" s="11"/>
      <c r="Q994" s="11"/>
      <c r="R994" s="11"/>
      <c r="S994" s="11"/>
      <c r="T994" s="11"/>
      <c r="U994" s="11"/>
      <c r="V994" s="11"/>
      <c r="W994" s="11"/>
      <c r="X994" s="11"/>
      <c r="Y994" s="11"/>
      <c r="Z994" s="11"/>
    </row>
  </sheetData>
  <dataValidations count="1">
    <dataValidation type="list" allowBlank="1" showErrorMessage="1" sqref="F12">
      <formula1>"Module 2"</formula1>
    </dataValidation>
  </dataValidations>
  <hyperlinks>
    <hyperlink ref="B2" r:id="rId1"/>
    <hyperlink ref="C2" r:id="rId2"/>
    <hyperlink ref="F2" r:id="rId3"/>
    <hyperlink ref="G2" r:id="rId4"/>
    <hyperlink ref="B3" r:id="rId5"/>
    <hyperlink ref="C3" r:id="rId6"/>
    <hyperlink ref="F3" r:id="rId7"/>
    <hyperlink ref="G3" r:id="rId8"/>
    <hyperlink ref="B4" r:id="rId9"/>
    <hyperlink ref="C4" r:id="rId10"/>
    <hyperlink ref="F4" r:id="rId11"/>
    <hyperlink ref="B5" r:id="rId12"/>
    <hyperlink ref="C5" r:id="rId13"/>
    <hyperlink ref="F5" r:id="rId14"/>
    <hyperlink ref="G5" r:id="rId15"/>
    <hyperlink ref="B6" r:id="rId16"/>
    <hyperlink ref="C6" r:id="rId17"/>
    <hyperlink ref="F6" r:id="rId18"/>
    <hyperlink ref="B7" r:id="rId19"/>
    <hyperlink ref="C7" r:id="rId20"/>
    <hyperlink ref="F7" r:id="rId21"/>
    <hyperlink ref="G7" r:id="rId22"/>
    <hyperlink ref="B8" r:id="rId23"/>
    <hyperlink ref="C8" r:id="rId24"/>
    <hyperlink ref="F8" r:id="rId25"/>
    <hyperlink ref="G8" r:id="rId26"/>
    <hyperlink ref="B9" r:id="rId27"/>
    <hyperlink ref="C9" r:id="rId28"/>
    <hyperlink ref="F9" r:id="rId29"/>
    <hyperlink ref="B10" r:id="rId30"/>
    <hyperlink ref="C10" r:id="rId31"/>
    <hyperlink ref="F10" r:id="rId32"/>
    <hyperlink ref="B11" r:id="rId33"/>
    <hyperlink ref="C11" r:id="rId34"/>
    <hyperlink ref="F11" r:id="rId35"/>
    <hyperlink ref="G11" r:id="rId36"/>
    <hyperlink ref="B12" r:id="rId37"/>
    <hyperlink ref="C12" r:id="rId38"/>
    <hyperlink ref="F12" r:id="rId39"/>
    <hyperlink ref="B13" r:id="rId40"/>
    <hyperlink ref="C13" r:id="rId41"/>
    <hyperlink ref="F13" r:id="rId42"/>
    <hyperlink ref="G13" r:id="rId43"/>
    <hyperlink ref="B14" r:id="rId44"/>
    <hyperlink ref="C14" r:id="rId45"/>
    <hyperlink ref="F14" r:id="rId46"/>
    <hyperlink ref="B15" r:id="rId47"/>
    <hyperlink ref="C15" r:id="rId48"/>
    <hyperlink ref="F15" r:id="rId49"/>
    <hyperlink ref="B16" r:id="rId50"/>
    <hyperlink ref="C16" r:id="rId51"/>
    <hyperlink ref="F16" r:id="rId52"/>
    <hyperlink ref="G16" r:id="rId5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defaultColWidth="12.6640625" defaultRowHeight="15.75" customHeight="1"/>
  <cols>
    <col min="1" max="1" width="28" customWidth="1"/>
    <col min="2" max="2" width="37.6640625" customWidth="1"/>
    <col min="3" max="3" width="61.109375" customWidth="1"/>
    <col min="4" max="4" width="67.6640625" customWidth="1"/>
    <col min="5" max="5" width="39.33203125" customWidth="1"/>
  </cols>
  <sheetData>
    <row r="1" spans="1:26" ht="15.75" customHeight="1">
      <c r="A1" s="103" t="s">
        <v>0</v>
      </c>
      <c r="B1" s="102"/>
      <c r="C1" s="102"/>
      <c r="D1" s="102"/>
      <c r="E1" s="34"/>
      <c r="F1" s="34"/>
      <c r="G1" s="34"/>
      <c r="H1" s="34"/>
      <c r="I1" s="34"/>
      <c r="J1" s="34"/>
      <c r="K1" s="34"/>
      <c r="L1" s="34"/>
      <c r="M1" s="34"/>
      <c r="N1" s="34"/>
      <c r="O1" s="34"/>
      <c r="P1" s="34"/>
      <c r="Q1" s="34"/>
      <c r="R1" s="34"/>
      <c r="S1" s="34"/>
      <c r="T1" s="34"/>
      <c r="U1" s="34"/>
      <c r="V1" s="34"/>
      <c r="W1" s="34"/>
      <c r="X1" s="34"/>
      <c r="Y1" s="34"/>
      <c r="Z1" s="34"/>
    </row>
    <row r="2" spans="1:26" ht="15.75" customHeight="1">
      <c r="A2" s="35" t="s">
        <v>1</v>
      </c>
      <c r="B2" s="35" t="s">
        <v>2</v>
      </c>
      <c r="C2" s="35" t="s">
        <v>3</v>
      </c>
      <c r="D2" s="35" t="s">
        <v>4</v>
      </c>
      <c r="E2" s="36"/>
      <c r="F2" s="36"/>
      <c r="G2" s="36"/>
      <c r="H2" s="36"/>
      <c r="I2" s="36"/>
      <c r="J2" s="36"/>
      <c r="K2" s="36"/>
      <c r="L2" s="36"/>
      <c r="M2" s="36"/>
      <c r="N2" s="36"/>
      <c r="O2" s="36"/>
      <c r="P2" s="36"/>
      <c r="Q2" s="36"/>
      <c r="R2" s="36"/>
      <c r="S2" s="36"/>
      <c r="T2" s="36"/>
      <c r="U2" s="36"/>
      <c r="V2" s="36"/>
      <c r="W2" s="36"/>
      <c r="X2" s="36"/>
      <c r="Y2" s="36"/>
      <c r="Z2" s="36"/>
    </row>
    <row r="3" spans="1:26" ht="15.75" customHeight="1">
      <c r="A3" s="37" t="s">
        <v>145</v>
      </c>
      <c r="B3" s="38" t="s">
        <v>146</v>
      </c>
      <c r="C3" s="39" t="s">
        <v>147</v>
      </c>
      <c r="D3" s="40" t="s">
        <v>148</v>
      </c>
      <c r="E3" s="34"/>
      <c r="F3" s="34"/>
      <c r="G3" s="34"/>
      <c r="H3" s="34"/>
      <c r="I3" s="34"/>
      <c r="J3" s="34"/>
      <c r="K3" s="34"/>
      <c r="L3" s="34"/>
      <c r="M3" s="34"/>
      <c r="N3" s="34"/>
      <c r="O3" s="34"/>
      <c r="P3" s="34"/>
      <c r="Q3" s="34"/>
      <c r="R3" s="34"/>
      <c r="S3" s="34"/>
      <c r="T3" s="34"/>
      <c r="U3" s="34"/>
      <c r="V3" s="34"/>
      <c r="W3" s="34"/>
      <c r="X3" s="34"/>
      <c r="Y3" s="34"/>
      <c r="Z3" s="34"/>
    </row>
    <row r="4" spans="1:26" ht="15.75" customHeight="1">
      <c r="A4" s="41" t="s">
        <v>149</v>
      </c>
      <c r="B4" s="42" t="s">
        <v>150</v>
      </c>
      <c r="C4" s="43" t="s">
        <v>151</v>
      </c>
      <c r="D4" s="44" t="s">
        <v>152</v>
      </c>
      <c r="E4" s="34"/>
      <c r="F4" s="34"/>
      <c r="G4" s="34"/>
      <c r="H4" s="34"/>
      <c r="I4" s="34"/>
      <c r="J4" s="34"/>
      <c r="K4" s="34"/>
      <c r="L4" s="34"/>
      <c r="M4" s="34"/>
      <c r="N4" s="34"/>
      <c r="O4" s="34"/>
      <c r="P4" s="34"/>
      <c r="Q4" s="34"/>
      <c r="R4" s="34"/>
      <c r="S4" s="34"/>
      <c r="T4" s="34"/>
      <c r="U4" s="34"/>
      <c r="V4" s="34"/>
      <c r="W4" s="34"/>
      <c r="X4" s="34"/>
      <c r="Y4" s="34"/>
      <c r="Z4" s="34"/>
    </row>
    <row r="5" spans="1:26" ht="15.75" customHeight="1">
      <c r="A5" s="41" t="s">
        <v>153</v>
      </c>
      <c r="B5" s="42" t="s">
        <v>154</v>
      </c>
      <c r="C5" s="43" t="s">
        <v>155</v>
      </c>
      <c r="D5" s="44" t="s">
        <v>156</v>
      </c>
      <c r="E5" s="34"/>
      <c r="F5" s="34"/>
      <c r="G5" s="34"/>
      <c r="H5" s="34"/>
      <c r="I5" s="34"/>
      <c r="J5" s="34"/>
      <c r="K5" s="34"/>
      <c r="L5" s="34"/>
      <c r="M5" s="34"/>
      <c r="N5" s="34"/>
      <c r="O5" s="34"/>
      <c r="P5" s="34"/>
      <c r="Q5" s="34"/>
      <c r="R5" s="34"/>
      <c r="S5" s="34"/>
      <c r="T5" s="34"/>
      <c r="U5" s="34"/>
      <c r="V5" s="34"/>
      <c r="W5" s="34"/>
      <c r="X5" s="34"/>
      <c r="Y5" s="34"/>
      <c r="Z5" s="34"/>
    </row>
    <row r="6" spans="1:26" ht="15.75" customHeight="1">
      <c r="A6" s="45"/>
      <c r="B6" s="42"/>
      <c r="C6" s="39"/>
      <c r="D6" s="46"/>
      <c r="E6" s="34"/>
      <c r="F6" s="34"/>
      <c r="G6" s="34"/>
      <c r="H6" s="34"/>
      <c r="I6" s="34"/>
      <c r="J6" s="34"/>
      <c r="K6" s="34"/>
      <c r="L6" s="34"/>
      <c r="M6" s="34"/>
      <c r="N6" s="34"/>
      <c r="O6" s="34"/>
      <c r="P6" s="34"/>
      <c r="Q6" s="34"/>
      <c r="R6" s="34"/>
      <c r="S6" s="34"/>
      <c r="T6" s="34"/>
      <c r="U6" s="34"/>
      <c r="V6" s="34"/>
      <c r="W6" s="34"/>
      <c r="X6" s="34"/>
      <c r="Y6" s="34"/>
      <c r="Z6" s="34"/>
    </row>
    <row r="7" spans="1:26" ht="15.75" customHeight="1">
      <c r="A7" s="45"/>
      <c r="B7" s="42"/>
      <c r="C7" s="39"/>
      <c r="D7" s="46"/>
      <c r="E7" s="34"/>
      <c r="F7" s="34"/>
      <c r="G7" s="34"/>
      <c r="H7" s="34"/>
      <c r="I7" s="34"/>
      <c r="J7" s="34"/>
      <c r="K7" s="34"/>
      <c r="L7" s="34"/>
      <c r="M7" s="34"/>
      <c r="N7" s="34"/>
      <c r="O7" s="34"/>
      <c r="P7" s="34"/>
      <c r="Q7" s="34"/>
      <c r="R7" s="34"/>
      <c r="S7" s="34"/>
      <c r="T7" s="34"/>
      <c r="U7" s="34"/>
      <c r="V7" s="34"/>
      <c r="W7" s="34"/>
      <c r="X7" s="34"/>
      <c r="Y7" s="34"/>
      <c r="Z7" s="34"/>
    </row>
    <row r="8" spans="1:26" ht="15.75" customHeight="1">
      <c r="A8" s="45"/>
      <c r="B8" s="42"/>
      <c r="C8" s="39"/>
      <c r="D8" s="46"/>
      <c r="E8" s="34"/>
      <c r="F8" s="34"/>
      <c r="G8" s="34"/>
      <c r="H8" s="34"/>
      <c r="I8" s="34"/>
      <c r="J8" s="34"/>
      <c r="K8" s="34"/>
      <c r="L8" s="34"/>
      <c r="M8" s="34"/>
      <c r="N8" s="34"/>
      <c r="O8" s="34"/>
      <c r="P8" s="34"/>
      <c r="Q8" s="34"/>
      <c r="R8" s="34"/>
      <c r="S8" s="34"/>
      <c r="T8" s="34"/>
      <c r="U8" s="34"/>
      <c r="V8" s="34"/>
      <c r="W8" s="34"/>
      <c r="X8" s="34"/>
      <c r="Y8" s="34"/>
      <c r="Z8" s="34"/>
    </row>
    <row r="9" spans="1:26" ht="15.75" customHeight="1">
      <c r="A9" s="45"/>
      <c r="B9" s="42"/>
      <c r="C9" s="39"/>
      <c r="D9" s="46"/>
      <c r="E9" s="34"/>
      <c r="F9" s="34"/>
      <c r="G9" s="34"/>
      <c r="H9" s="34"/>
      <c r="I9" s="34"/>
      <c r="J9" s="34"/>
      <c r="K9" s="34"/>
      <c r="L9" s="34"/>
      <c r="M9" s="34"/>
      <c r="N9" s="34"/>
      <c r="O9" s="34"/>
      <c r="P9" s="34"/>
      <c r="Q9" s="34"/>
      <c r="R9" s="34"/>
      <c r="S9" s="34"/>
      <c r="T9" s="34"/>
      <c r="U9" s="34"/>
      <c r="V9" s="34"/>
      <c r="W9" s="34"/>
      <c r="X9" s="34"/>
      <c r="Y9" s="34"/>
      <c r="Z9" s="34"/>
    </row>
    <row r="10" spans="1:26" ht="15.75" customHeight="1">
      <c r="A10" s="45"/>
      <c r="B10" s="42"/>
      <c r="C10" s="39"/>
      <c r="D10" s="46"/>
      <c r="E10" s="34"/>
      <c r="F10" s="34"/>
      <c r="G10" s="34"/>
      <c r="H10" s="34"/>
      <c r="I10" s="34"/>
      <c r="J10" s="34"/>
      <c r="K10" s="34"/>
      <c r="L10" s="34"/>
      <c r="M10" s="34"/>
      <c r="N10" s="34"/>
      <c r="O10" s="34"/>
      <c r="P10" s="34"/>
      <c r="Q10" s="34"/>
      <c r="R10" s="34"/>
      <c r="S10" s="34"/>
      <c r="T10" s="34"/>
      <c r="U10" s="34"/>
      <c r="V10" s="34"/>
      <c r="W10" s="34"/>
      <c r="X10" s="34"/>
      <c r="Y10" s="34"/>
      <c r="Z10" s="34"/>
    </row>
    <row r="11" spans="1:26" ht="15.75" customHeight="1">
      <c r="A11" s="45"/>
      <c r="B11" s="42"/>
      <c r="C11" s="39"/>
      <c r="D11" s="46"/>
      <c r="E11" s="34"/>
      <c r="F11" s="34"/>
      <c r="G11" s="34"/>
      <c r="H11" s="34"/>
      <c r="I11" s="34"/>
      <c r="J11" s="34"/>
      <c r="K11" s="34"/>
      <c r="L11" s="34"/>
      <c r="M11" s="34"/>
      <c r="N11" s="34"/>
      <c r="O11" s="34"/>
      <c r="P11" s="34"/>
      <c r="Q11" s="34"/>
      <c r="R11" s="34"/>
      <c r="S11" s="34"/>
      <c r="T11" s="34"/>
      <c r="U11" s="34"/>
      <c r="V11" s="34"/>
      <c r="W11" s="34"/>
      <c r="X11" s="34"/>
      <c r="Y11" s="34"/>
      <c r="Z11" s="34"/>
    </row>
    <row r="12" spans="1:26" ht="15.75" customHeight="1">
      <c r="A12" s="45"/>
      <c r="B12" s="42"/>
      <c r="C12" s="39"/>
      <c r="D12" s="46"/>
      <c r="E12" s="34"/>
      <c r="F12" s="34"/>
      <c r="G12" s="34"/>
      <c r="H12" s="34"/>
      <c r="I12" s="34"/>
      <c r="J12" s="34"/>
      <c r="K12" s="34"/>
      <c r="L12" s="34"/>
      <c r="M12" s="34"/>
      <c r="N12" s="34"/>
      <c r="O12" s="34"/>
      <c r="P12" s="34"/>
      <c r="Q12" s="34"/>
      <c r="R12" s="34"/>
      <c r="S12" s="34"/>
      <c r="T12" s="34"/>
      <c r="U12" s="34"/>
      <c r="V12" s="34"/>
      <c r="W12" s="34"/>
      <c r="X12" s="34"/>
      <c r="Y12" s="34"/>
      <c r="Z12" s="34"/>
    </row>
    <row r="13" spans="1:26" ht="15.75" customHeight="1">
      <c r="A13" s="45"/>
      <c r="B13" s="42"/>
      <c r="C13" s="39"/>
      <c r="D13" s="46"/>
      <c r="E13" s="34"/>
      <c r="F13" s="34"/>
      <c r="G13" s="34"/>
      <c r="H13" s="34"/>
      <c r="I13" s="34"/>
      <c r="J13" s="34"/>
      <c r="K13" s="34"/>
      <c r="L13" s="34"/>
      <c r="M13" s="34"/>
      <c r="N13" s="34"/>
      <c r="O13" s="34"/>
      <c r="P13" s="34"/>
      <c r="Q13" s="34"/>
      <c r="R13" s="34"/>
      <c r="S13" s="34"/>
      <c r="T13" s="34"/>
      <c r="U13" s="34"/>
      <c r="V13" s="34"/>
      <c r="W13" s="34"/>
      <c r="X13" s="34"/>
      <c r="Y13" s="34"/>
      <c r="Z13" s="34"/>
    </row>
    <row r="14" spans="1:26" ht="15.75" customHeight="1">
      <c r="A14" s="45"/>
      <c r="B14" s="42"/>
      <c r="C14" s="39"/>
      <c r="D14" s="46"/>
      <c r="E14" s="34"/>
      <c r="F14" s="34"/>
      <c r="G14" s="34"/>
      <c r="H14" s="34"/>
      <c r="I14" s="34"/>
      <c r="J14" s="34"/>
      <c r="K14" s="34"/>
      <c r="L14" s="34"/>
      <c r="M14" s="34"/>
      <c r="N14" s="34"/>
      <c r="O14" s="34"/>
      <c r="P14" s="34"/>
      <c r="Q14" s="34"/>
      <c r="R14" s="34"/>
      <c r="S14" s="34"/>
      <c r="T14" s="34"/>
      <c r="U14" s="34"/>
      <c r="V14" s="34"/>
      <c r="W14" s="34"/>
      <c r="X14" s="34"/>
      <c r="Y14" s="34"/>
      <c r="Z14" s="34"/>
    </row>
    <row r="15" spans="1:26" ht="15.75" customHeight="1">
      <c r="A15" s="45"/>
      <c r="B15" s="42"/>
      <c r="C15" s="39"/>
      <c r="D15" s="46"/>
      <c r="E15" s="34"/>
      <c r="F15" s="34"/>
      <c r="G15" s="34"/>
      <c r="H15" s="34"/>
      <c r="I15" s="34"/>
      <c r="J15" s="34"/>
      <c r="K15" s="34"/>
      <c r="L15" s="34"/>
      <c r="M15" s="34"/>
      <c r="N15" s="34"/>
      <c r="O15" s="34"/>
      <c r="P15" s="34"/>
      <c r="Q15" s="34"/>
      <c r="R15" s="34"/>
      <c r="S15" s="34"/>
      <c r="T15" s="34"/>
      <c r="U15" s="34"/>
      <c r="V15" s="34"/>
      <c r="W15" s="34"/>
      <c r="X15" s="34"/>
      <c r="Y15" s="34"/>
      <c r="Z15" s="34"/>
    </row>
    <row r="16" spans="1:26" ht="15.75" customHeight="1">
      <c r="A16" s="45"/>
      <c r="B16" s="42"/>
      <c r="C16" s="39"/>
      <c r="D16" s="46"/>
      <c r="E16" s="34"/>
      <c r="F16" s="34"/>
      <c r="G16" s="34"/>
      <c r="H16" s="34"/>
      <c r="I16" s="34"/>
      <c r="J16" s="34"/>
      <c r="K16" s="34"/>
      <c r="L16" s="34"/>
      <c r="M16" s="34"/>
      <c r="N16" s="34"/>
      <c r="O16" s="34"/>
      <c r="P16" s="34"/>
      <c r="Q16" s="34"/>
      <c r="R16" s="34"/>
      <c r="S16" s="34"/>
      <c r="T16" s="34"/>
      <c r="U16" s="34"/>
      <c r="V16" s="34"/>
      <c r="W16" s="34"/>
      <c r="X16" s="34"/>
      <c r="Y16" s="34"/>
      <c r="Z16" s="34"/>
    </row>
    <row r="17" spans="1:26" ht="15.75" customHeight="1">
      <c r="A17" s="45"/>
      <c r="B17" s="42"/>
      <c r="C17" s="39"/>
      <c r="D17" s="46"/>
      <c r="E17" s="34"/>
      <c r="F17" s="34"/>
      <c r="G17" s="34"/>
      <c r="H17" s="34"/>
      <c r="I17" s="34"/>
      <c r="J17" s="34"/>
      <c r="K17" s="34"/>
      <c r="L17" s="34"/>
      <c r="M17" s="34"/>
      <c r="N17" s="34"/>
      <c r="O17" s="34"/>
      <c r="P17" s="34"/>
      <c r="Q17" s="34"/>
      <c r="R17" s="34"/>
      <c r="S17" s="34"/>
      <c r="T17" s="34"/>
      <c r="U17" s="34"/>
      <c r="V17" s="34"/>
      <c r="W17" s="34"/>
      <c r="X17" s="34"/>
      <c r="Y17" s="34"/>
      <c r="Z17" s="34"/>
    </row>
    <row r="18" spans="1:26" ht="15.75" customHeight="1">
      <c r="A18" s="45"/>
      <c r="B18" s="42"/>
      <c r="C18" s="39"/>
      <c r="D18" s="46"/>
      <c r="E18" s="34"/>
      <c r="F18" s="34"/>
      <c r="G18" s="34"/>
      <c r="H18" s="34"/>
      <c r="I18" s="34"/>
      <c r="J18" s="34"/>
      <c r="K18" s="34"/>
      <c r="L18" s="34"/>
      <c r="M18" s="34"/>
      <c r="N18" s="34"/>
      <c r="O18" s="34"/>
      <c r="P18" s="34"/>
      <c r="Q18" s="34"/>
      <c r="R18" s="34"/>
      <c r="S18" s="34"/>
      <c r="T18" s="34"/>
      <c r="U18" s="34"/>
      <c r="V18" s="34"/>
      <c r="W18" s="34"/>
      <c r="X18" s="34"/>
      <c r="Y18" s="34"/>
      <c r="Z18" s="34"/>
    </row>
    <row r="19" spans="1:26" ht="15.75" customHeight="1">
      <c r="A19" s="45"/>
      <c r="B19" s="42"/>
      <c r="C19" s="39"/>
      <c r="D19" s="46"/>
      <c r="E19" s="34"/>
      <c r="F19" s="34"/>
      <c r="G19" s="34"/>
      <c r="H19" s="34"/>
      <c r="I19" s="34"/>
      <c r="J19" s="34"/>
      <c r="K19" s="34"/>
      <c r="L19" s="34"/>
      <c r="M19" s="34"/>
      <c r="N19" s="34"/>
      <c r="O19" s="34"/>
      <c r="P19" s="34"/>
      <c r="Q19" s="34"/>
      <c r="R19" s="34"/>
      <c r="S19" s="34"/>
      <c r="T19" s="34"/>
      <c r="U19" s="34"/>
      <c r="V19" s="34"/>
      <c r="W19" s="34"/>
      <c r="X19" s="34"/>
      <c r="Y19" s="34"/>
      <c r="Z19" s="34"/>
    </row>
    <row r="20" spans="1:26" ht="15.75" customHeight="1">
      <c r="A20" s="45"/>
      <c r="B20" s="42"/>
      <c r="C20" s="39"/>
      <c r="D20" s="46"/>
      <c r="E20" s="34"/>
      <c r="F20" s="34"/>
      <c r="G20" s="34"/>
      <c r="H20" s="34"/>
      <c r="I20" s="34"/>
      <c r="J20" s="34"/>
      <c r="K20" s="34"/>
      <c r="L20" s="34"/>
      <c r="M20" s="34"/>
      <c r="N20" s="34"/>
      <c r="O20" s="34"/>
      <c r="P20" s="34"/>
      <c r="Q20" s="34"/>
      <c r="R20" s="34"/>
      <c r="S20" s="34"/>
      <c r="T20" s="34"/>
      <c r="U20" s="34"/>
      <c r="V20" s="34"/>
      <c r="W20" s="34"/>
      <c r="X20" s="34"/>
      <c r="Y20" s="34"/>
      <c r="Z20" s="34"/>
    </row>
    <row r="21" spans="1:26" ht="15.75" customHeight="1">
      <c r="A21" s="45"/>
      <c r="B21" s="42"/>
      <c r="C21" s="39"/>
      <c r="D21" s="46"/>
      <c r="E21" s="34"/>
      <c r="F21" s="34"/>
      <c r="G21" s="34"/>
      <c r="H21" s="34"/>
      <c r="I21" s="34"/>
      <c r="J21" s="34"/>
      <c r="K21" s="34"/>
      <c r="L21" s="34"/>
      <c r="M21" s="34"/>
      <c r="N21" s="34"/>
      <c r="O21" s="34"/>
      <c r="P21" s="34"/>
      <c r="Q21" s="34"/>
      <c r="R21" s="34"/>
      <c r="S21" s="34"/>
      <c r="T21" s="34"/>
      <c r="U21" s="34"/>
      <c r="V21" s="34"/>
      <c r="W21" s="34"/>
      <c r="X21" s="34"/>
      <c r="Y21" s="34"/>
      <c r="Z21" s="34"/>
    </row>
    <row r="22" spans="1:26" ht="15.75" customHeight="1">
      <c r="A22" s="45"/>
      <c r="B22" s="42"/>
      <c r="C22" s="39"/>
      <c r="D22" s="46"/>
      <c r="E22" s="34"/>
      <c r="F22" s="34"/>
      <c r="G22" s="34"/>
      <c r="H22" s="34"/>
      <c r="I22" s="34"/>
      <c r="J22" s="34"/>
      <c r="K22" s="34"/>
      <c r="L22" s="34"/>
      <c r="M22" s="34"/>
      <c r="N22" s="34"/>
      <c r="O22" s="34"/>
      <c r="P22" s="34"/>
      <c r="Q22" s="34"/>
      <c r="R22" s="34"/>
      <c r="S22" s="34"/>
      <c r="T22" s="34"/>
      <c r="U22" s="34"/>
      <c r="V22" s="34"/>
      <c r="W22" s="34"/>
      <c r="X22" s="34"/>
      <c r="Y22" s="34"/>
      <c r="Z22" s="34"/>
    </row>
    <row r="23" spans="1:26" ht="15.75" customHeight="1">
      <c r="A23" s="45"/>
      <c r="B23" s="42"/>
      <c r="C23" s="39"/>
      <c r="D23" s="46"/>
      <c r="E23" s="34"/>
      <c r="F23" s="34"/>
      <c r="G23" s="34"/>
      <c r="H23" s="34"/>
      <c r="I23" s="34"/>
      <c r="J23" s="34"/>
      <c r="K23" s="34"/>
      <c r="L23" s="34"/>
      <c r="M23" s="34"/>
      <c r="N23" s="34"/>
      <c r="O23" s="34"/>
      <c r="P23" s="34"/>
      <c r="Q23" s="34"/>
      <c r="R23" s="34"/>
      <c r="S23" s="34"/>
      <c r="T23" s="34"/>
      <c r="U23" s="34"/>
      <c r="V23" s="34"/>
      <c r="W23" s="34"/>
      <c r="X23" s="34"/>
      <c r="Y23" s="34"/>
      <c r="Z23" s="34"/>
    </row>
    <row r="24" spans="1:26" ht="13.2">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ht="13.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ht="13.2">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ht="13.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ht="13.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3.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ht="13.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3.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3.2">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3.2">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3.2">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ht="13.2">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ht="13.2">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ht="13.2">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ht="13.2">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ht="13.2">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ht="13.2">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ht="13.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ht="13.2">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ht="13.2">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ht="13.2">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ht="13.2">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ht="13.2">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ht="13.2">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ht="13.2">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ht="13.2">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3.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3.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3.2">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3.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3.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13.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ht="13.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3.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3.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3.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3.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ht="13.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ht="13.2">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3.2">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3.2">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3.2">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3.2">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3.2">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3.2">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3.2">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3.2">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3.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3.2">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3.2">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3.2">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3.2">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3.2">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3.2">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3.2">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3.2">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3.2">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3.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3.2">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3.2">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3.2">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3.2">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3.2">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3.2">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3.2">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3.2">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3.2">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3.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3.2">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3.2">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3.2">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3.2">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3.2">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3.2">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3.2">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3.2">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3.2">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3.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3.2">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3.2">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3.2">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3.2">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3.2">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3.2">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3.2">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3.2">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3.2">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3.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3.2">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3.2">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3.2">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3.2">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3.2">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3.2">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3.2">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3.2">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3.2">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3.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3.2">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3.2">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3.2">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3.2">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3.2">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3.2">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3.2">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3.2">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3.2">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3.2">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3.2">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3.2">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3.2">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3.2">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3.2">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3.2">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3.2">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3.2">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3.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3.2">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3.2">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3.2">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3.2">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3.2">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3.2">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3.2">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3.2">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3.2">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3.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3.2">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3.2">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3.2">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3.2">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3.2">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3.2">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3.2">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3.2">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3.2">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3.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3.2">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3.2">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3.2">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3.2">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3.2">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3.2">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3.2">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3.2">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3.2">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3.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3.2">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3.2">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3.2">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3.2">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3.2">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3.2">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3.2">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3.2">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3.2">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3.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3.2">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3.2">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3.2">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3.2">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3.2">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3.2">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3.2">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3.2">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3.2">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3.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3.2">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3.2">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3.2">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3.2">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3.2">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3.2">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3.2">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3.2">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3.2">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3.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3.2">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3.2">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3.2">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3.2">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3.2">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3.2">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3.2">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3.2">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3.2">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3.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3.2">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3.2">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3.2">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3.2">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3.2">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3.2">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3.2">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3.2">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3.2">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3.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3.2">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3.2">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3.2">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3.2">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3.2">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3.2">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3.2">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3.2">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3.2">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3.2">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3.2">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3.2">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3.2">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3.2">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3.2">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3.2">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3.2">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3.2">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3.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3.2">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3.2">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3.2">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3.2">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3.2">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3.2">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3.2">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3.2">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3.2">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3.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3.2">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3.2">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3.2">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3.2">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3.2">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3.2">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3.2">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3.2">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3.2">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3.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3.2">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3.2">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3.2">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3.2">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3.2">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3.2">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3.2">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3.2">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3.2">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3.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3.2">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3.2">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3.2">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3.2">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3.2">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3.2">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3.2">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3.2">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3.2">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3.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3.2">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3.2">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3.2">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3.2">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3.2">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3.2">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3.2">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3.2">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3.2">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3.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3.2">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3.2">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3.2">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3.2">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3.2">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3.2">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3.2">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3.2">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3.2">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3.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3.2">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3.2">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3.2">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3.2">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3.2">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3.2">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3.2">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3.2">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3.2">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3.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3.2">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3.2">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3.2">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3.2">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3.2">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3.2">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3.2">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3.2">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3.2">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3.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3.2">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3.2">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3.2">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3.2">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3.2">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3.2">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3.2">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3.2">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3.2">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3.2">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3.2">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3.2">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3.2">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3.2">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3.2">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3.2">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3.2">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3.2">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3.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3.2">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3.2">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3.2">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3.2">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3.2">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3.2">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3.2">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3.2">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3.2">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3.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3.2">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3.2">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3.2">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3.2">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3.2">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3.2">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3.2">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3.2">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3.2">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3.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3.2">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3.2">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3.2">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3.2">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3.2">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3.2">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3.2">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3.2">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3.2">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3.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3.2">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3.2">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3.2">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3.2">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3.2">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3.2">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3.2">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3.2">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3.2">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3.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3.2">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3.2">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3.2">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3.2">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3.2">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3.2">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3.2">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3.2">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3.2">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3.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3.2">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3.2">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3.2">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3.2">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3.2">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3.2">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3.2">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3.2">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3.2">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3.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3.2">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3.2">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3.2">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3.2">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3.2">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3.2">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3.2">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3.2">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3.2">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3.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3.2">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3.2">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3.2">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3.2">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3.2">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3.2">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3.2">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3.2">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3.2">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3.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3.2">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3.2">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3.2">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3.2">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3.2">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3.2">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3.2">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3.2">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3.2">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3.2">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3.2">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3.2">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3.2">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3.2">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3.2">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3.2">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3.2">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3.2">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3.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3.2">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3.2">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3.2">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3.2">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3.2">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3.2">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3.2">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3.2">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3.2">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3.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3.2">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3.2">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3.2">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3.2">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3.2">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3.2">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3.2">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3.2">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3.2">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3.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3.2">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3.2">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3.2">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3.2">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3.2">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3.2">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3.2">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3.2">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3.2">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3.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3.2">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3.2">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3.2">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3.2">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3.2">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3.2">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3.2">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3.2">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3.2">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3.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3.2">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3.2">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3.2">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3.2">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3.2">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3.2">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3.2">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3.2">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3.2">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3.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3.2">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3.2">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3.2">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3.2">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3.2">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3.2">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3.2">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3.2">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3.2">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3.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3.2">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3.2">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3.2">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3.2">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3.2">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3.2">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3.2">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3.2">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3.2">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3.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3.2">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3.2">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3.2">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3.2">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3.2">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3.2">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3.2">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3.2">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3.2">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3.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3.2">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3.2">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3.2">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3.2">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3.2">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3.2">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3.2">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3.2">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3.2">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3.2">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3.2">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3.2">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3.2">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3.2">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3.2">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3.2">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3.2">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3.2">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3.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3.2">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3.2">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3.2">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3.2">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3.2">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3.2">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3.2">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3.2">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3.2">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3.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3.2">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3.2">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3.2">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3.2">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3.2">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3.2">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3.2">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3.2">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3.2">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3.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3.2">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3.2">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3.2">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3.2">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3.2">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3.2">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3.2">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3.2">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3.2">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3.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3.2">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3.2">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3.2">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3.2">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3.2">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3.2">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3.2">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3.2">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3.2">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3.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3.2">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3.2">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3.2">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3.2">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3.2">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3.2">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3.2">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3.2">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3.2">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3.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3.2">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3.2">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3.2">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3.2">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3.2">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3.2">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3.2">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3.2">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3.2">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3.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3.2">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3.2">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3.2">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3.2">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3.2">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3.2">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3.2">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3.2">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3.2">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3.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3.2">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3.2">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3.2">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3.2">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3.2">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3.2">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3.2">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3.2">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3.2">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3.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3.2">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3.2">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3.2">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3.2">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3.2">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3.2">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3.2">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3.2">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3.2">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3.2">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3.2">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3.2">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3.2">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3.2">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3.2">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3.2">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3.2">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3.2">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3.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3.2">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3.2">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3.2">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3.2">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3.2">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3.2">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3.2">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3.2">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3.2">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3.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3.2">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3.2">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3.2">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3.2">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3.2">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3.2">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3.2">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3.2">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3.2">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3.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3.2">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3.2">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3.2">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3.2">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3.2">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3.2">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3.2">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3.2">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3.2">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3.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3.2">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3.2">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3.2">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3.2">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3.2">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3.2">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3.2">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3.2">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3.2">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3.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3.2">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3.2">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3.2">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3.2">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3.2">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3.2">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3.2">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3.2">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3.2">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3.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3.2">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3.2">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3.2">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3.2">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3.2">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3.2">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3.2">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3.2">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3.2">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3.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3.2">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3.2">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3.2">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3.2">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3.2">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3.2">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3.2">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3.2">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3.2">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3.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3.2">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3.2">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3.2">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3.2">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3.2">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3.2">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3.2">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3.2">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3.2">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3.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3.2">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3.2">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3.2">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3.2">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3.2">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3.2">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3.2">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3.2">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3.2">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3.2">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3.2">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3.2">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3.2">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3.2">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3.2">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3.2">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3.2">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3.2">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3.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3.2">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3.2">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3.2">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3.2">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3.2">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3.2">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3.2">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3.2">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3.2">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3.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3.2">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3.2">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3.2">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3.2">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3.2">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3.2">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3.2">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3.2">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3.2">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3.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3.2">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3.2">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3.2">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3.2">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3.2">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3.2">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3.2">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3.2">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3.2">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3.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3.2">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3.2">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3.2">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3.2">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3.2">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3.2">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3.2">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3.2">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3.2">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3.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3.2">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3.2">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3.2">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3.2">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3.2">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3.2">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3.2">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3.2">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3.2">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3.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3.2">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3.2">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3.2">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3.2">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3.2">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3.2">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3.2">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3.2">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3.2">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3.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3.2">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3.2">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3.2">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3.2">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3.2">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3.2">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3.2">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3.2">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3.2">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3.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3.2">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3.2">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3.2">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3.2">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3.2">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3.2">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3.2">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3.2">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3.2">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3.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3.2">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3.2">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3.2">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3.2">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3.2">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3.2">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3.2">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3.2">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3.2">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3.2">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3.2">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3.2">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3.2">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3.2">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3.2">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3.2">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3.2">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3.2">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3.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3.2">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3.2">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3.2">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3.2">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3.2">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3.2">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3.2">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3.2">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3.2">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3.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3.2">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3.2">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3.2">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3.2">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3.2">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3.2">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3.2">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3.2">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3.2">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3.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3.2">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3.2">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3.2">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3.2">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3.2">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3.2">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3.2">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3.2">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3.2">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3.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3.2">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3.2">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3.2">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3.2">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3.2">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3.2">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3.2">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3.2">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3.2">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3.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3.2">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3.2">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3.2">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3.2">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3.2">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3.2">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3.2">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3.2">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3.2">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3.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3.2">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3.2">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3.2">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3.2">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3.2">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3.2">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3.2">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3.2">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3.2">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3.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3.2">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3.2">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3.2">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3.2">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3.2">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3.2">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3.2">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3.2">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3.2">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3.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3.2">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3.2">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3.2">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3.2">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3.2">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3.2">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3.2">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3.2">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3.2">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3.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3.2">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3.2">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3.2">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3.2">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3.2">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3.2">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3.2">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3.2">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3.2">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3.2">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3.2">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3.2">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3.2">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3.2">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3.2">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3.2">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3.2">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3.2">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3.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3.2">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3.2">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3.2">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3.2">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3.2">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3.2">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3.2">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3.2">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3.2">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3.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3.2">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3.2">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3.2">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3.2">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3.2">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3.2">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3.2">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3.2">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3.2">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3.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3.2">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3.2">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3.2">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3.2">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3.2">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3.2">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3.2">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3.2">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3.2">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3.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3.2">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3.2">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3.2">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3.2">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3.2">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3.2">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3.2">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3.2">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3.2">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3.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3.2">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3.2">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3.2">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3.2">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3.2">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3.2">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3.2">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3.2">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3.2">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3.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3.2">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3.2">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3.2">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3.2">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3.2">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3.2">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3.2">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sheetData>
  <mergeCells count="1">
    <mergeCell ref="A1:D1"/>
  </mergeCells>
  <hyperlinks>
    <hyperlink ref="D3" r:id="rId1"/>
    <hyperlink ref="C4" r:id="rId2"/>
    <hyperlink ref="D4" r:id="rId3"/>
    <hyperlink ref="C5" r:id="rId4"/>
    <hyperlink ref="D5" r:id="rI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B12" zoomScale="80" zoomScaleNormal="80" workbookViewId="0">
      <selection activeCell="C12" sqref="C12"/>
    </sheetView>
  </sheetViews>
  <sheetFormatPr defaultColWidth="12.6640625" defaultRowHeight="15.75" customHeight="1"/>
  <cols>
    <col min="1" max="1" width="132.77734375" style="70" customWidth="1"/>
    <col min="2" max="2" width="87.6640625" style="70" customWidth="1"/>
    <col min="3" max="3" width="61.109375" style="70" customWidth="1"/>
    <col min="4" max="4" width="83.109375" style="70" customWidth="1"/>
    <col min="5" max="5" width="39.33203125" style="70" customWidth="1"/>
    <col min="6" max="16384" width="12.6640625" style="70"/>
  </cols>
  <sheetData>
    <row r="1" spans="1:26" ht="61.8" customHeight="1">
      <c r="A1" s="104" t="s">
        <v>0</v>
      </c>
      <c r="B1" s="105"/>
      <c r="C1" s="105"/>
      <c r="D1" s="105"/>
      <c r="E1" s="73"/>
      <c r="F1" s="73"/>
      <c r="G1" s="73"/>
      <c r="H1" s="73"/>
      <c r="I1" s="73"/>
      <c r="J1" s="73"/>
      <c r="K1" s="73"/>
      <c r="L1" s="73"/>
      <c r="M1" s="73"/>
      <c r="N1" s="73"/>
      <c r="O1" s="73"/>
      <c r="P1" s="73"/>
      <c r="Q1" s="73"/>
      <c r="R1" s="73"/>
      <c r="S1" s="73"/>
      <c r="T1" s="73"/>
      <c r="U1" s="73"/>
      <c r="V1" s="73"/>
      <c r="W1" s="73"/>
      <c r="X1" s="73"/>
      <c r="Y1" s="73"/>
      <c r="Z1" s="73"/>
    </row>
    <row r="2" spans="1:26" ht="61.8" customHeight="1">
      <c r="A2" s="74" t="s">
        <v>1</v>
      </c>
      <c r="B2" s="74" t="s">
        <v>2</v>
      </c>
      <c r="C2" s="74" t="s">
        <v>3</v>
      </c>
      <c r="D2" s="74" t="s">
        <v>4</v>
      </c>
      <c r="E2" s="75"/>
      <c r="F2" s="75"/>
      <c r="G2" s="75"/>
      <c r="H2" s="75"/>
      <c r="I2" s="75"/>
      <c r="J2" s="75"/>
      <c r="K2" s="75"/>
      <c r="L2" s="75"/>
      <c r="M2" s="75"/>
      <c r="N2" s="75"/>
      <c r="O2" s="75"/>
      <c r="P2" s="75"/>
      <c r="Q2" s="75"/>
      <c r="R2" s="75"/>
      <c r="S2" s="75"/>
      <c r="T2" s="75"/>
      <c r="U2" s="75"/>
      <c r="V2" s="75"/>
      <c r="W2" s="75"/>
      <c r="X2" s="75"/>
      <c r="Y2" s="75"/>
      <c r="Z2" s="75"/>
    </row>
    <row r="3" spans="1:26" ht="201" customHeight="1">
      <c r="A3" s="76" t="s">
        <v>157</v>
      </c>
      <c r="B3" s="77" t="s">
        <v>557</v>
      </c>
      <c r="C3" s="77" t="s">
        <v>558</v>
      </c>
      <c r="D3" s="71" t="s">
        <v>574</v>
      </c>
      <c r="E3" s="73"/>
      <c r="F3" s="73"/>
      <c r="G3" s="73"/>
      <c r="H3" s="73"/>
      <c r="I3" s="73"/>
      <c r="J3" s="73"/>
      <c r="K3" s="73"/>
      <c r="L3" s="73"/>
      <c r="M3" s="73"/>
      <c r="N3" s="73"/>
      <c r="O3" s="73"/>
      <c r="P3" s="73"/>
      <c r="Q3" s="73"/>
      <c r="R3" s="73"/>
      <c r="S3" s="73"/>
      <c r="T3" s="73"/>
      <c r="U3" s="73"/>
      <c r="V3" s="73"/>
      <c r="W3" s="73"/>
      <c r="X3" s="73"/>
      <c r="Y3" s="73"/>
      <c r="Z3" s="73"/>
    </row>
    <row r="4" spans="1:26" ht="82.8">
      <c r="A4" s="76" t="s">
        <v>158</v>
      </c>
      <c r="B4" s="79" t="s">
        <v>159</v>
      </c>
      <c r="C4" s="80" t="s">
        <v>160</v>
      </c>
      <c r="D4" s="77" t="s">
        <v>575</v>
      </c>
      <c r="E4" s="73"/>
      <c r="F4" s="73"/>
      <c r="G4" s="73"/>
      <c r="H4" s="73"/>
      <c r="I4" s="73"/>
      <c r="J4" s="73"/>
      <c r="K4" s="73"/>
      <c r="L4" s="73"/>
      <c r="M4" s="73"/>
      <c r="N4" s="73"/>
      <c r="O4" s="73"/>
      <c r="P4" s="73"/>
      <c r="Q4" s="73"/>
      <c r="R4" s="73"/>
      <c r="S4" s="73"/>
      <c r="T4" s="73"/>
      <c r="U4" s="73"/>
      <c r="V4" s="73"/>
      <c r="W4" s="73"/>
      <c r="X4" s="73"/>
      <c r="Y4" s="73"/>
      <c r="Z4" s="73"/>
    </row>
    <row r="5" spans="1:26" ht="66">
      <c r="A5" s="76" t="s">
        <v>161</v>
      </c>
      <c r="B5" s="79" t="s">
        <v>162</v>
      </c>
      <c r="C5" s="77" t="s">
        <v>559</v>
      </c>
      <c r="D5" s="77" t="s">
        <v>560</v>
      </c>
      <c r="E5" s="73"/>
      <c r="F5" s="73"/>
      <c r="G5" s="73"/>
      <c r="H5" s="73"/>
      <c r="I5" s="73"/>
      <c r="J5" s="73"/>
      <c r="K5" s="73"/>
      <c r="L5" s="73"/>
      <c r="M5" s="73"/>
      <c r="N5" s="73"/>
      <c r="O5" s="73"/>
      <c r="P5" s="73"/>
      <c r="Q5" s="73"/>
      <c r="R5" s="73"/>
      <c r="S5" s="73"/>
      <c r="T5" s="73"/>
      <c r="U5" s="73"/>
      <c r="V5" s="73"/>
      <c r="W5" s="73"/>
      <c r="X5" s="73"/>
      <c r="Y5" s="73"/>
      <c r="Z5" s="73"/>
    </row>
    <row r="6" spans="1:26" ht="316.8">
      <c r="A6" s="81" t="s">
        <v>163</v>
      </c>
      <c r="B6" s="79" t="s">
        <v>164</v>
      </c>
      <c r="C6" s="79" t="s">
        <v>165</v>
      </c>
      <c r="D6" s="78" t="s">
        <v>561</v>
      </c>
      <c r="E6" s="73"/>
      <c r="F6" s="73"/>
      <c r="G6" s="73"/>
      <c r="H6" s="73"/>
      <c r="I6" s="73"/>
      <c r="J6" s="73"/>
      <c r="K6" s="73"/>
      <c r="L6" s="73"/>
      <c r="M6" s="73"/>
      <c r="N6" s="73"/>
      <c r="O6" s="73"/>
      <c r="P6" s="73"/>
      <c r="Q6" s="73"/>
      <c r="R6" s="73"/>
      <c r="S6" s="73"/>
      <c r="T6" s="73"/>
      <c r="U6" s="73"/>
      <c r="V6" s="73"/>
      <c r="W6" s="73"/>
      <c r="X6" s="73"/>
      <c r="Y6" s="73"/>
      <c r="Z6" s="73"/>
    </row>
    <row r="7" spans="1:26" ht="234.6">
      <c r="A7" s="76" t="s">
        <v>166</v>
      </c>
      <c r="B7" s="79" t="s">
        <v>167</v>
      </c>
      <c r="C7" s="79"/>
      <c r="D7" s="79" t="s">
        <v>168</v>
      </c>
      <c r="E7" s="73"/>
      <c r="F7" s="73"/>
      <c r="G7" s="73"/>
      <c r="H7" s="73"/>
      <c r="I7" s="73"/>
      <c r="J7" s="73"/>
      <c r="K7" s="73"/>
      <c r="L7" s="73"/>
      <c r="M7" s="73"/>
      <c r="N7" s="73"/>
      <c r="O7" s="73"/>
      <c r="P7" s="73"/>
      <c r="Q7" s="73"/>
      <c r="R7" s="73"/>
      <c r="S7" s="73"/>
      <c r="T7" s="73"/>
      <c r="U7" s="73"/>
      <c r="V7" s="73"/>
      <c r="W7" s="73"/>
      <c r="X7" s="73"/>
      <c r="Y7" s="73"/>
      <c r="Z7" s="73"/>
    </row>
    <row r="8" spans="1:26" ht="96.6">
      <c r="A8" s="76" t="s">
        <v>169</v>
      </c>
      <c r="B8" s="79" t="s">
        <v>170</v>
      </c>
      <c r="C8" s="79"/>
      <c r="D8" s="78" t="s">
        <v>562</v>
      </c>
      <c r="E8" s="73"/>
      <c r="F8" s="73"/>
      <c r="G8" s="73"/>
      <c r="H8" s="73"/>
      <c r="I8" s="73"/>
      <c r="J8" s="73"/>
      <c r="K8" s="73"/>
      <c r="L8" s="73"/>
      <c r="M8" s="73"/>
      <c r="N8" s="73"/>
      <c r="O8" s="73"/>
      <c r="P8" s="73"/>
      <c r="Q8" s="73"/>
      <c r="R8" s="73"/>
      <c r="S8" s="73"/>
      <c r="T8" s="73"/>
      <c r="U8" s="73"/>
      <c r="V8" s="73"/>
      <c r="W8" s="73"/>
      <c r="X8" s="73"/>
      <c r="Y8" s="73"/>
      <c r="Z8" s="73"/>
    </row>
    <row r="9" spans="1:26" ht="132">
      <c r="A9" s="76" t="s">
        <v>171</v>
      </c>
      <c r="B9" s="79" t="s">
        <v>172</v>
      </c>
      <c r="C9" s="78" t="s">
        <v>563</v>
      </c>
      <c r="D9" s="78" t="s">
        <v>564</v>
      </c>
      <c r="E9" s="73"/>
      <c r="F9" s="73"/>
      <c r="G9" s="73"/>
      <c r="H9" s="73"/>
      <c r="I9" s="73"/>
      <c r="J9" s="73"/>
      <c r="K9" s="73"/>
      <c r="L9" s="73"/>
      <c r="M9" s="73"/>
      <c r="N9" s="73"/>
      <c r="O9" s="73"/>
      <c r="P9" s="73"/>
      <c r="Q9" s="73"/>
      <c r="R9" s="73"/>
      <c r="S9" s="73"/>
      <c r="T9" s="73"/>
      <c r="U9" s="73"/>
      <c r="V9" s="73"/>
      <c r="W9" s="73"/>
      <c r="X9" s="73"/>
      <c r="Y9" s="73"/>
      <c r="Z9" s="73"/>
    </row>
    <row r="10" spans="1:26" ht="202.8">
      <c r="A10" s="82" t="s">
        <v>173</v>
      </c>
      <c r="B10" s="83" t="s">
        <v>174</v>
      </c>
      <c r="C10" s="73"/>
      <c r="D10" s="83" t="s">
        <v>175</v>
      </c>
      <c r="E10" s="73"/>
      <c r="F10" s="73"/>
      <c r="G10" s="73"/>
      <c r="H10" s="73"/>
      <c r="I10" s="73"/>
      <c r="J10" s="73"/>
      <c r="K10" s="73"/>
      <c r="L10" s="73"/>
      <c r="M10" s="73"/>
      <c r="N10" s="73"/>
      <c r="O10" s="73"/>
      <c r="P10" s="73"/>
      <c r="Q10" s="73"/>
      <c r="R10" s="73"/>
      <c r="S10" s="73"/>
      <c r="T10" s="73"/>
      <c r="U10" s="73"/>
      <c r="V10" s="73"/>
      <c r="W10" s="73"/>
      <c r="X10" s="73"/>
      <c r="Y10" s="73"/>
      <c r="Z10" s="73"/>
    </row>
    <row r="11" spans="1:26" ht="79.2">
      <c r="A11" s="82" t="s">
        <v>176</v>
      </c>
      <c r="B11" s="84" t="s">
        <v>177</v>
      </c>
      <c r="C11" s="84" t="s">
        <v>178</v>
      </c>
      <c r="D11" s="78" t="s">
        <v>565</v>
      </c>
      <c r="E11" s="73"/>
      <c r="F11" s="73"/>
      <c r="G11" s="73"/>
      <c r="H11" s="73"/>
      <c r="I11" s="73"/>
      <c r="J11" s="73"/>
      <c r="K11" s="73"/>
      <c r="L11" s="73"/>
      <c r="M11" s="73"/>
      <c r="N11" s="73"/>
      <c r="O11" s="73"/>
      <c r="P11" s="73"/>
      <c r="Q11" s="73"/>
      <c r="R11" s="73"/>
      <c r="S11" s="73"/>
      <c r="T11" s="73"/>
      <c r="U11" s="73"/>
      <c r="V11" s="73"/>
      <c r="W11" s="73"/>
      <c r="X11" s="73"/>
      <c r="Y11" s="73"/>
      <c r="Z11" s="73"/>
    </row>
    <row r="12" spans="1:26" ht="330">
      <c r="A12" s="82" t="s">
        <v>179</v>
      </c>
      <c r="B12" s="83" t="s">
        <v>180</v>
      </c>
      <c r="C12" s="78" t="s">
        <v>566</v>
      </c>
      <c r="D12" s="83" t="s">
        <v>181</v>
      </c>
      <c r="E12" s="73"/>
      <c r="F12" s="73"/>
      <c r="G12" s="73"/>
      <c r="H12" s="73"/>
      <c r="I12" s="73"/>
      <c r="J12" s="73"/>
      <c r="K12" s="73"/>
      <c r="L12" s="73"/>
      <c r="M12" s="73"/>
      <c r="N12" s="73"/>
      <c r="O12" s="73"/>
      <c r="P12" s="73"/>
      <c r="Q12" s="73"/>
      <c r="R12" s="73"/>
      <c r="S12" s="73"/>
      <c r="T12" s="73"/>
      <c r="U12" s="73"/>
      <c r="V12" s="73"/>
      <c r="W12" s="73"/>
      <c r="X12" s="73"/>
      <c r="Y12" s="73"/>
      <c r="Z12" s="73"/>
    </row>
    <row r="13" spans="1:26" ht="265.2">
      <c r="A13" s="83" t="s">
        <v>182</v>
      </c>
      <c r="B13" s="83" t="s">
        <v>183</v>
      </c>
      <c r="C13" s="83" t="s">
        <v>184</v>
      </c>
      <c r="D13" s="78" t="s">
        <v>567</v>
      </c>
      <c r="E13" s="73"/>
      <c r="F13" s="73"/>
      <c r="G13" s="73"/>
      <c r="H13" s="73"/>
      <c r="I13" s="73"/>
      <c r="J13" s="73"/>
      <c r="K13" s="73"/>
      <c r="L13" s="73"/>
      <c r="M13" s="73"/>
      <c r="N13" s="73"/>
      <c r="O13" s="73"/>
      <c r="P13" s="73"/>
      <c r="Q13" s="73"/>
      <c r="R13" s="73"/>
      <c r="S13" s="73"/>
      <c r="T13" s="73"/>
      <c r="U13" s="73"/>
      <c r="V13" s="73"/>
      <c r="W13" s="73"/>
      <c r="X13" s="73"/>
      <c r="Y13" s="73"/>
      <c r="Z13" s="73"/>
    </row>
    <row r="14" spans="1:26" ht="265.2">
      <c r="A14" s="83" t="s">
        <v>185</v>
      </c>
      <c r="B14" s="83" t="s">
        <v>186</v>
      </c>
      <c r="C14" s="83"/>
      <c r="D14" s="83" t="s">
        <v>187</v>
      </c>
      <c r="E14" s="73"/>
      <c r="F14" s="73"/>
      <c r="G14" s="73"/>
      <c r="H14" s="73"/>
      <c r="I14" s="73"/>
      <c r="J14" s="73"/>
      <c r="K14" s="73"/>
      <c r="L14" s="73"/>
      <c r="M14" s="73"/>
      <c r="N14" s="73"/>
      <c r="O14" s="73"/>
      <c r="P14" s="73"/>
      <c r="Q14" s="73"/>
      <c r="R14" s="73"/>
      <c r="S14" s="73"/>
      <c r="T14" s="73"/>
      <c r="U14" s="73"/>
      <c r="V14" s="73"/>
      <c r="W14" s="73"/>
      <c r="X14" s="73"/>
      <c r="Y14" s="73"/>
      <c r="Z14" s="73"/>
    </row>
    <row r="15" spans="1:26" ht="78">
      <c r="A15" s="85" t="s">
        <v>188</v>
      </c>
      <c r="B15" s="83" t="s">
        <v>189</v>
      </c>
      <c r="C15" s="78" t="s">
        <v>568</v>
      </c>
      <c r="D15" s="78" t="s">
        <v>569</v>
      </c>
      <c r="E15" s="73"/>
      <c r="F15" s="73"/>
      <c r="G15" s="73"/>
      <c r="H15" s="73"/>
      <c r="I15" s="73"/>
      <c r="J15" s="73"/>
      <c r="K15" s="73"/>
      <c r="L15" s="73"/>
      <c r="M15" s="73"/>
      <c r="N15" s="73"/>
      <c r="O15" s="73"/>
      <c r="P15" s="73"/>
      <c r="Q15" s="73"/>
      <c r="R15" s="73"/>
      <c r="S15" s="73"/>
      <c r="T15" s="73"/>
      <c r="U15" s="73"/>
      <c r="V15" s="73"/>
      <c r="W15" s="73"/>
      <c r="X15" s="73"/>
      <c r="Y15" s="73"/>
      <c r="Z15" s="73"/>
    </row>
    <row r="16" spans="1:26" ht="93.6">
      <c r="A16" s="83" t="s">
        <v>190</v>
      </c>
      <c r="B16" s="83" t="s">
        <v>191</v>
      </c>
      <c r="C16" s="78" t="s">
        <v>570</v>
      </c>
      <c r="D16" s="78" t="s">
        <v>571</v>
      </c>
      <c r="E16" s="73"/>
      <c r="F16" s="73"/>
      <c r="G16" s="73"/>
      <c r="H16" s="73"/>
      <c r="I16" s="73"/>
      <c r="J16" s="73"/>
      <c r="K16" s="73"/>
      <c r="L16" s="73"/>
      <c r="M16" s="73"/>
      <c r="N16" s="73"/>
      <c r="O16" s="73"/>
      <c r="P16" s="73"/>
      <c r="Q16" s="73"/>
      <c r="R16" s="73"/>
      <c r="S16" s="73"/>
      <c r="T16" s="73"/>
      <c r="U16" s="73"/>
      <c r="V16" s="73"/>
      <c r="W16" s="73"/>
      <c r="X16" s="73"/>
      <c r="Y16" s="73"/>
      <c r="Z16" s="73"/>
    </row>
    <row r="17" spans="1:26" ht="93.6">
      <c r="A17" s="83" t="s">
        <v>192</v>
      </c>
      <c r="B17" s="83" t="s">
        <v>193</v>
      </c>
      <c r="C17" s="78" t="s">
        <v>194</v>
      </c>
      <c r="D17" s="78" t="s">
        <v>572</v>
      </c>
      <c r="E17" s="73"/>
      <c r="F17" s="73"/>
      <c r="G17" s="73"/>
      <c r="H17" s="73"/>
      <c r="I17" s="73"/>
      <c r="J17" s="73"/>
      <c r="K17" s="73"/>
      <c r="L17" s="73"/>
      <c r="M17" s="73"/>
      <c r="N17" s="73"/>
      <c r="O17" s="73"/>
      <c r="P17" s="73"/>
      <c r="Q17" s="73"/>
      <c r="R17" s="73"/>
      <c r="S17" s="73"/>
      <c r="T17" s="73"/>
      <c r="U17" s="73"/>
      <c r="V17" s="73"/>
      <c r="W17" s="73"/>
      <c r="X17" s="73"/>
      <c r="Y17" s="73"/>
      <c r="Z17" s="73"/>
    </row>
    <row r="18" spans="1:26" ht="55.2">
      <c r="A18" s="79" t="s">
        <v>195</v>
      </c>
      <c r="B18" s="79" t="s">
        <v>196</v>
      </c>
      <c r="C18" s="78" t="s">
        <v>194</v>
      </c>
      <c r="D18" s="83" t="s">
        <v>197</v>
      </c>
      <c r="E18" s="73"/>
      <c r="F18" s="73"/>
      <c r="G18" s="73"/>
      <c r="H18" s="73"/>
      <c r="I18" s="73"/>
      <c r="J18" s="73"/>
      <c r="K18" s="73"/>
      <c r="L18" s="73"/>
      <c r="M18" s="73"/>
      <c r="N18" s="73"/>
      <c r="O18" s="73"/>
      <c r="P18" s="73"/>
      <c r="Q18" s="73"/>
      <c r="R18" s="73"/>
      <c r="S18" s="73"/>
      <c r="T18" s="73"/>
      <c r="U18" s="73"/>
      <c r="V18" s="73"/>
      <c r="W18" s="73"/>
      <c r="X18" s="73"/>
      <c r="Y18" s="73"/>
      <c r="Z18" s="73"/>
    </row>
    <row r="19" spans="1:26" ht="79.2">
      <c r="A19" s="83" t="s">
        <v>198</v>
      </c>
      <c r="B19" s="83" t="s">
        <v>199</v>
      </c>
      <c r="C19" s="78" t="s">
        <v>200</v>
      </c>
      <c r="D19" s="78" t="s">
        <v>573</v>
      </c>
      <c r="E19" s="73"/>
      <c r="F19" s="73"/>
      <c r="G19" s="73"/>
      <c r="H19" s="73"/>
      <c r="I19" s="73"/>
      <c r="J19" s="73"/>
      <c r="K19" s="73"/>
      <c r="L19" s="73"/>
      <c r="M19" s="73"/>
      <c r="N19" s="73"/>
      <c r="O19" s="73"/>
      <c r="P19" s="73"/>
      <c r="Q19" s="73"/>
      <c r="R19" s="73"/>
      <c r="S19" s="73"/>
      <c r="T19" s="73"/>
      <c r="U19" s="73"/>
      <c r="V19" s="73"/>
      <c r="W19" s="73"/>
      <c r="X19" s="73"/>
      <c r="Y19" s="73"/>
      <c r="Z19" s="73"/>
    </row>
    <row r="20" spans="1:26" ht="13.2">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3.2">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3.2">
      <c r="A22" s="71" t="s">
        <v>243</v>
      </c>
      <c r="D22" s="73"/>
      <c r="E22" s="73"/>
      <c r="F22" s="73"/>
      <c r="G22" s="73"/>
      <c r="H22" s="73"/>
      <c r="I22" s="73"/>
      <c r="J22" s="73"/>
      <c r="K22" s="73"/>
      <c r="L22" s="73"/>
      <c r="M22" s="73"/>
      <c r="N22" s="73"/>
      <c r="O22" s="73"/>
      <c r="P22" s="73"/>
      <c r="Q22" s="73"/>
      <c r="R22" s="73"/>
      <c r="S22" s="73"/>
      <c r="T22" s="73"/>
      <c r="U22" s="73"/>
      <c r="V22" s="73"/>
      <c r="W22" s="73"/>
      <c r="X22" s="73"/>
      <c r="Y22" s="73"/>
      <c r="Z22" s="73"/>
    </row>
    <row r="23" spans="1:26" ht="13.2">
      <c r="A23" s="88"/>
      <c r="D23" s="73"/>
      <c r="E23" s="73"/>
      <c r="F23" s="73"/>
      <c r="G23" s="73"/>
      <c r="H23" s="73"/>
      <c r="I23" s="73"/>
      <c r="J23" s="73"/>
      <c r="K23" s="73"/>
      <c r="L23" s="73"/>
      <c r="M23" s="73"/>
      <c r="N23" s="73"/>
      <c r="O23" s="73"/>
      <c r="P23" s="73"/>
      <c r="Q23" s="73"/>
      <c r="R23" s="73"/>
      <c r="S23" s="73"/>
      <c r="T23" s="73"/>
      <c r="U23" s="73"/>
      <c r="V23" s="73"/>
      <c r="W23" s="73"/>
      <c r="X23" s="73"/>
      <c r="Y23" s="73"/>
      <c r="Z23" s="73"/>
    </row>
    <row r="24" spans="1:26" ht="13.2">
      <c r="A24" s="89" t="s">
        <v>244</v>
      </c>
      <c r="D24" s="73"/>
      <c r="E24" s="73"/>
      <c r="F24" s="73"/>
      <c r="G24" s="73"/>
      <c r="H24" s="73"/>
      <c r="I24" s="73"/>
      <c r="J24" s="73"/>
      <c r="K24" s="73"/>
      <c r="L24" s="73"/>
      <c r="M24" s="73"/>
      <c r="N24" s="73"/>
      <c r="O24" s="73"/>
      <c r="P24" s="73"/>
      <c r="Q24" s="73"/>
      <c r="R24" s="73"/>
      <c r="S24" s="73"/>
      <c r="T24" s="73"/>
      <c r="U24" s="73"/>
      <c r="V24" s="73"/>
      <c r="W24" s="73"/>
      <c r="X24" s="73"/>
      <c r="Y24" s="73"/>
      <c r="Z24" s="73"/>
    </row>
    <row r="25" spans="1:26" ht="13.2">
      <c r="A25" s="88"/>
      <c r="D25" s="73"/>
      <c r="E25" s="73"/>
      <c r="F25" s="73"/>
      <c r="G25" s="73"/>
      <c r="H25" s="73"/>
      <c r="I25" s="73"/>
      <c r="J25" s="73"/>
      <c r="K25" s="73"/>
      <c r="L25" s="73"/>
      <c r="M25" s="73"/>
      <c r="N25" s="73"/>
      <c r="O25" s="73"/>
      <c r="P25" s="73"/>
      <c r="Q25" s="73"/>
      <c r="R25" s="73"/>
      <c r="S25" s="73"/>
      <c r="T25" s="73"/>
      <c r="U25" s="73"/>
      <c r="V25" s="73"/>
      <c r="W25" s="73"/>
      <c r="X25" s="73"/>
      <c r="Y25" s="73"/>
      <c r="Z25" s="73"/>
    </row>
    <row r="26" spans="1:26" ht="26.4">
      <c r="A26" s="89" t="s">
        <v>245</v>
      </c>
      <c r="D26" s="73"/>
      <c r="E26" s="73"/>
      <c r="F26" s="73"/>
      <c r="G26" s="73"/>
      <c r="H26" s="73"/>
      <c r="I26" s="73"/>
      <c r="J26" s="73"/>
      <c r="K26" s="73"/>
      <c r="L26" s="73"/>
      <c r="M26" s="73"/>
      <c r="N26" s="73"/>
      <c r="O26" s="73"/>
      <c r="P26" s="73"/>
      <c r="Q26" s="73"/>
      <c r="R26" s="73"/>
      <c r="S26" s="73"/>
      <c r="T26" s="73"/>
      <c r="U26" s="73"/>
      <c r="V26" s="73"/>
      <c r="W26" s="73"/>
      <c r="X26" s="73"/>
      <c r="Y26" s="73"/>
      <c r="Z26" s="73"/>
    </row>
    <row r="27" spans="1:26" ht="13.2">
      <c r="D27" s="73"/>
      <c r="E27" s="73"/>
      <c r="F27" s="73"/>
      <c r="G27" s="73"/>
      <c r="H27" s="73"/>
      <c r="I27" s="73"/>
      <c r="J27" s="73"/>
      <c r="K27" s="73"/>
      <c r="L27" s="73"/>
      <c r="M27" s="73"/>
      <c r="N27" s="73"/>
      <c r="O27" s="73"/>
      <c r="P27" s="73"/>
      <c r="Q27" s="73"/>
      <c r="R27" s="73"/>
      <c r="S27" s="73"/>
      <c r="T27" s="73"/>
      <c r="U27" s="73"/>
      <c r="V27" s="73"/>
      <c r="W27" s="73"/>
      <c r="X27" s="73"/>
      <c r="Y27" s="73"/>
      <c r="Z27" s="73"/>
    </row>
    <row r="28" spans="1:26" ht="39.6">
      <c r="A28" s="71" t="s">
        <v>246</v>
      </c>
      <c r="D28" s="73"/>
      <c r="E28" s="73"/>
      <c r="F28" s="73"/>
      <c r="G28" s="73"/>
      <c r="H28" s="73"/>
      <c r="I28" s="73"/>
      <c r="J28" s="73"/>
      <c r="K28" s="73"/>
      <c r="L28" s="73"/>
      <c r="M28" s="73"/>
      <c r="N28" s="73"/>
      <c r="O28" s="73"/>
      <c r="P28" s="73"/>
      <c r="Q28" s="73"/>
      <c r="R28" s="73"/>
      <c r="S28" s="73"/>
      <c r="T28" s="73"/>
      <c r="U28" s="73"/>
      <c r="V28" s="73"/>
      <c r="W28" s="73"/>
      <c r="X28" s="73"/>
      <c r="Y28" s="73"/>
      <c r="Z28" s="73"/>
    </row>
    <row r="29" spans="1:26" ht="13.2">
      <c r="D29" s="73"/>
      <c r="E29" s="73"/>
      <c r="F29" s="73"/>
      <c r="G29" s="73"/>
      <c r="H29" s="73"/>
      <c r="I29" s="73"/>
      <c r="J29" s="73"/>
      <c r="K29" s="73"/>
      <c r="L29" s="73"/>
      <c r="M29" s="73"/>
      <c r="N29" s="73"/>
      <c r="O29" s="73"/>
      <c r="P29" s="73"/>
      <c r="Q29" s="73"/>
      <c r="R29" s="73"/>
      <c r="S29" s="73"/>
      <c r="T29" s="73"/>
      <c r="U29" s="73"/>
      <c r="V29" s="73"/>
      <c r="W29" s="73"/>
      <c r="X29" s="73"/>
      <c r="Y29" s="73"/>
      <c r="Z29" s="73"/>
    </row>
    <row r="30" spans="1:26" ht="13.2">
      <c r="D30" s="73"/>
      <c r="E30" s="73"/>
      <c r="F30" s="73"/>
      <c r="G30" s="73"/>
      <c r="H30" s="73"/>
      <c r="I30" s="73"/>
      <c r="J30" s="73"/>
      <c r="K30" s="73"/>
      <c r="L30" s="73"/>
      <c r="M30" s="73"/>
      <c r="N30" s="73"/>
      <c r="O30" s="73"/>
      <c r="P30" s="73"/>
      <c r="Q30" s="73"/>
      <c r="R30" s="73"/>
      <c r="S30" s="73"/>
      <c r="T30" s="73"/>
      <c r="U30" s="73"/>
      <c r="V30" s="73"/>
      <c r="W30" s="73"/>
      <c r="X30" s="73"/>
      <c r="Y30" s="73"/>
      <c r="Z30" s="73"/>
    </row>
    <row r="31" spans="1:26" ht="13.2">
      <c r="D31" s="73"/>
      <c r="E31" s="73"/>
      <c r="F31" s="73"/>
      <c r="G31" s="73"/>
      <c r="H31" s="73"/>
      <c r="I31" s="73"/>
      <c r="J31" s="73"/>
      <c r="K31" s="73"/>
      <c r="L31" s="73"/>
      <c r="M31" s="73"/>
      <c r="N31" s="73"/>
      <c r="O31" s="73"/>
      <c r="P31" s="73"/>
      <c r="Q31" s="73"/>
      <c r="R31" s="73"/>
      <c r="S31" s="73"/>
      <c r="T31" s="73"/>
      <c r="U31" s="73"/>
      <c r="V31" s="73"/>
      <c r="W31" s="73"/>
      <c r="X31" s="73"/>
      <c r="Y31" s="73"/>
      <c r="Z31" s="73"/>
    </row>
    <row r="32" spans="1:26" ht="22.8">
      <c r="A32" s="90" t="s">
        <v>247</v>
      </c>
      <c r="D32" s="73"/>
      <c r="E32" s="73"/>
      <c r="F32" s="73"/>
      <c r="G32" s="73"/>
      <c r="H32" s="73"/>
      <c r="I32" s="73"/>
      <c r="J32" s="73"/>
      <c r="K32" s="73"/>
      <c r="L32" s="73"/>
      <c r="M32" s="73"/>
      <c r="N32" s="73"/>
      <c r="O32" s="73"/>
      <c r="P32" s="73"/>
      <c r="Q32" s="73"/>
      <c r="R32" s="73"/>
      <c r="S32" s="73"/>
      <c r="T32" s="73"/>
      <c r="U32" s="73"/>
      <c r="V32" s="73"/>
      <c r="W32" s="73"/>
      <c r="X32" s="73"/>
      <c r="Y32" s="73"/>
      <c r="Z32" s="73"/>
    </row>
    <row r="33" spans="1:26" ht="13.2">
      <c r="D33" s="73"/>
      <c r="E33" s="73"/>
      <c r="F33" s="73"/>
      <c r="G33" s="73"/>
      <c r="H33" s="73"/>
      <c r="I33" s="73"/>
      <c r="J33" s="73"/>
      <c r="K33" s="73"/>
      <c r="L33" s="73"/>
      <c r="M33" s="73"/>
      <c r="N33" s="73"/>
      <c r="O33" s="73"/>
      <c r="P33" s="73"/>
      <c r="Q33" s="73"/>
      <c r="R33" s="73"/>
      <c r="S33" s="73"/>
      <c r="T33" s="73"/>
      <c r="U33" s="73"/>
      <c r="V33" s="73"/>
      <c r="W33" s="73"/>
      <c r="X33" s="73"/>
      <c r="Y33" s="73"/>
      <c r="Z33" s="73"/>
    </row>
    <row r="34" spans="1:26" ht="13.2">
      <c r="A34" s="69" t="s">
        <v>248</v>
      </c>
      <c r="B34" s="69" t="s">
        <v>249</v>
      </c>
      <c r="C34" s="69" t="s">
        <v>250</v>
      </c>
      <c r="D34" s="73"/>
      <c r="E34" s="73"/>
      <c r="F34" s="73"/>
      <c r="G34" s="73"/>
      <c r="H34" s="73"/>
      <c r="I34" s="73"/>
      <c r="J34" s="73"/>
      <c r="K34" s="73"/>
      <c r="L34" s="73"/>
      <c r="M34" s="73"/>
      <c r="N34" s="73"/>
      <c r="O34" s="73"/>
      <c r="P34" s="73"/>
      <c r="Q34" s="73"/>
      <c r="R34" s="73"/>
      <c r="S34" s="73"/>
      <c r="T34" s="73"/>
      <c r="U34" s="73"/>
      <c r="V34" s="73"/>
      <c r="W34" s="73"/>
      <c r="X34" s="73"/>
      <c r="Y34" s="73"/>
      <c r="Z34" s="73"/>
    </row>
    <row r="35" spans="1:26" ht="13.2">
      <c r="A35" s="71" t="s">
        <v>251</v>
      </c>
      <c r="B35" s="71" t="s">
        <v>252</v>
      </c>
      <c r="C35" s="71" t="s">
        <v>253</v>
      </c>
      <c r="D35" s="73"/>
      <c r="E35" s="73"/>
      <c r="F35" s="73"/>
      <c r="G35" s="73"/>
      <c r="H35" s="73"/>
      <c r="I35" s="73"/>
      <c r="J35" s="73"/>
      <c r="K35" s="73"/>
      <c r="L35" s="73"/>
      <c r="M35" s="73"/>
      <c r="N35" s="73"/>
      <c r="O35" s="73"/>
      <c r="P35" s="73"/>
      <c r="Q35" s="73"/>
      <c r="R35" s="73"/>
      <c r="S35" s="73"/>
      <c r="T35" s="73"/>
      <c r="U35" s="73"/>
      <c r="V35" s="73"/>
      <c r="W35" s="73"/>
      <c r="X35" s="73"/>
      <c r="Y35" s="73"/>
      <c r="Z35" s="73"/>
    </row>
    <row r="36" spans="1:26" ht="13.2">
      <c r="A36" s="71" t="s">
        <v>254</v>
      </c>
      <c r="B36" s="71" t="s">
        <v>255</v>
      </c>
      <c r="C36" s="71" t="s">
        <v>256</v>
      </c>
      <c r="D36" s="73"/>
      <c r="E36" s="73"/>
      <c r="F36" s="73"/>
      <c r="G36" s="73"/>
      <c r="H36" s="73"/>
      <c r="I36" s="73"/>
      <c r="J36" s="73"/>
      <c r="K36" s="73"/>
      <c r="L36" s="73"/>
      <c r="M36" s="73"/>
      <c r="N36" s="73"/>
      <c r="O36" s="73"/>
      <c r="P36" s="73"/>
      <c r="Q36" s="73"/>
      <c r="R36" s="73"/>
      <c r="S36" s="73"/>
      <c r="T36" s="73"/>
      <c r="U36" s="73"/>
      <c r="V36" s="73"/>
      <c r="W36" s="73"/>
      <c r="X36" s="73"/>
      <c r="Y36" s="73"/>
      <c r="Z36" s="73"/>
    </row>
    <row r="37" spans="1:26" ht="13.2">
      <c r="A37" s="71" t="s">
        <v>257</v>
      </c>
      <c r="B37" s="71" t="s">
        <v>258</v>
      </c>
      <c r="C37" s="71" t="s">
        <v>259</v>
      </c>
      <c r="D37" s="73"/>
      <c r="E37" s="73"/>
      <c r="F37" s="73"/>
      <c r="G37" s="73"/>
      <c r="H37" s="73"/>
      <c r="I37" s="73"/>
      <c r="J37" s="73"/>
      <c r="K37" s="73"/>
      <c r="L37" s="73"/>
      <c r="M37" s="73"/>
      <c r="N37" s="73"/>
      <c r="O37" s="73"/>
      <c r="P37" s="73"/>
      <c r="Q37" s="73"/>
      <c r="R37" s="73"/>
      <c r="S37" s="73"/>
      <c r="T37" s="73"/>
      <c r="U37" s="73"/>
      <c r="V37" s="73"/>
      <c r="W37" s="73"/>
      <c r="X37" s="73"/>
      <c r="Y37" s="73"/>
      <c r="Z37" s="73"/>
    </row>
    <row r="38" spans="1:26" ht="13.2">
      <c r="A38" s="71" t="s">
        <v>260</v>
      </c>
      <c r="B38" s="71" t="s">
        <v>261</v>
      </c>
      <c r="C38" s="71" t="s">
        <v>262</v>
      </c>
      <c r="D38" s="73"/>
      <c r="E38" s="73"/>
      <c r="F38" s="73"/>
      <c r="G38" s="73"/>
      <c r="H38" s="73"/>
      <c r="I38" s="73"/>
      <c r="J38" s="73"/>
      <c r="K38" s="73"/>
      <c r="L38" s="73"/>
      <c r="M38" s="73"/>
      <c r="N38" s="73"/>
      <c r="O38" s="73"/>
      <c r="P38" s="73"/>
      <c r="Q38" s="73"/>
      <c r="R38" s="73"/>
      <c r="S38" s="73"/>
      <c r="T38" s="73"/>
      <c r="U38" s="73"/>
      <c r="V38" s="73"/>
      <c r="W38" s="73"/>
      <c r="X38" s="73"/>
      <c r="Y38" s="73"/>
      <c r="Z38" s="73"/>
    </row>
    <row r="39" spans="1:26" ht="13.2">
      <c r="A39" s="71" t="s">
        <v>263</v>
      </c>
      <c r="B39" s="71" t="s">
        <v>264</v>
      </c>
      <c r="C39" s="71" t="s">
        <v>265</v>
      </c>
      <c r="D39" s="73"/>
      <c r="E39" s="73"/>
      <c r="F39" s="73"/>
      <c r="G39" s="73"/>
      <c r="H39" s="73"/>
      <c r="I39" s="73"/>
      <c r="J39" s="73"/>
      <c r="K39" s="73"/>
      <c r="L39" s="73"/>
      <c r="M39" s="73"/>
      <c r="N39" s="73"/>
      <c r="O39" s="73"/>
      <c r="P39" s="73"/>
      <c r="Q39" s="73"/>
      <c r="R39" s="73"/>
      <c r="S39" s="73"/>
      <c r="T39" s="73"/>
      <c r="U39" s="73"/>
      <c r="V39" s="73"/>
      <c r="W39" s="73"/>
      <c r="X39" s="73"/>
      <c r="Y39" s="73"/>
      <c r="Z39" s="73"/>
    </row>
    <row r="40" spans="1:26" ht="13.2">
      <c r="D40" s="73"/>
      <c r="E40" s="73"/>
      <c r="F40" s="73"/>
      <c r="G40" s="73"/>
      <c r="H40" s="73"/>
      <c r="I40" s="73"/>
      <c r="J40" s="73"/>
      <c r="K40" s="73"/>
      <c r="L40" s="73"/>
      <c r="M40" s="73"/>
      <c r="N40" s="73"/>
      <c r="O40" s="73"/>
      <c r="P40" s="73"/>
      <c r="Q40" s="73"/>
      <c r="R40" s="73"/>
      <c r="S40" s="73"/>
      <c r="T40" s="73"/>
      <c r="U40" s="73"/>
      <c r="V40" s="73"/>
      <c r="W40" s="73"/>
      <c r="X40" s="73"/>
      <c r="Y40" s="73"/>
      <c r="Z40" s="73"/>
    </row>
    <row r="41" spans="1:26" ht="13.2">
      <c r="D41" s="73"/>
      <c r="E41" s="73"/>
      <c r="F41" s="73"/>
      <c r="G41" s="73"/>
      <c r="H41" s="73"/>
      <c r="I41" s="73"/>
      <c r="J41" s="73"/>
      <c r="K41" s="73"/>
      <c r="L41" s="73"/>
      <c r="M41" s="73"/>
      <c r="N41" s="73"/>
      <c r="O41" s="73"/>
      <c r="P41" s="73"/>
      <c r="Q41" s="73"/>
      <c r="R41" s="73"/>
      <c r="S41" s="73"/>
      <c r="T41" s="73"/>
      <c r="U41" s="73"/>
      <c r="V41" s="73"/>
      <c r="W41" s="73"/>
      <c r="X41" s="73"/>
      <c r="Y41" s="73"/>
      <c r="Z41" s="73"/>
    </row>
    <row r="42" spans="1:26" ht="22.8">
      <c r="A42" s="90" t="s">
        <v>266</v>
      </c>
      <c r="D42" s="73"/>
      <c r="E42" s="73"/>
      <c r="F42" s="73"/>
      <c r="G42" s="73"/>
      <c r="H42" s="73"/>
      <c r="I42" s="73"/>
      <c r="J42" s="73"/>
      <c r="K42" s="73"/>
      <c r="L42" s="73"/>
      <c r="M42" s="73"/>
      <c r="N42" s="73"/>
      <c r="O42" s="73"/>
      <c r="P42" s="73"/>
      <c r="Q42" s="73"/>
      <c r="R42" s="73"/>
      <c r="S42" s="73"/>
      <c r="T42" s="73"/>
      <c r="U42" s="73"/>
      <c r="V42" s="73"/>
      <c r="W42" s="73"/>
      <c r="X42" s="73"/>
      <c r="Y42" s="73"/>
      <c r="Z42" s="73"/>
    </row>
    <row r="43" spans="1:26" ht="13.2">
      <c r="D43" s="73"/>
      <c r="E43" s="73"/>
      <c r="F43" s="73"/>
      <c r="G43" s="73"/>
      <c r="H43" s="73"/>
      <c r="I43" s="73"/>
      <c r="J43" s="73"/>
      <c r="K43" s="73"/>
      <c r="L43" s="73"/>
      <c r="M43" s="73"/>
      <c r="N43" s="73"/>
      <c r="O43" s="73"/>
      <c r="P43" s="73"/>
      <c r="Q43" s="73"/>
      <c r="R43" s="73"/>
      <c r="S43" s="73"/>
      <c r="T43" s="73"/>
      <c r="U43" s="73"/>
      <c r="V43" s="73"/>
      <c r="W43" s="73"/>
      <c r="X43" s="73"/>
      <c r="Y43" s="73"/>
      <c r="Z43" s="73"/>
    </row>
    <row r="44" spans="1:26" ht="17.399999999999999">
      <c r="A44" s="91" t="s">
        <v>267</v>
      </c>
      <c r="D44" s="73"/>
      <c r="E44" s="73"/>
      <c r="F44" s="73"/>
      <c r="G44" s="73"/>
      <c r="H44" s="73"/>
      <c r="I44" s="73"/>
      <c r="J44" s="73"/>
      <c r="K44" s="73"/>
      <c r="L44" s="73"/>
      <c r="M44" s="73"/>
      <c r="N44" s="73"/>
      <c r="O44" s="73"/>
      <c r="P44" s="73"/>
      <c r="Q44" s="73"/>
      <c r="R44" s="73"/>
      <c r="S44" s="73"/>
      <c r="T44" s="73"/>
      <c r="U44" s="73"/>
      <c r="V44" s="73"/>
      <c r="W44" s="73"/>
      <c r="X44" s="73"/>
      <c r="Y44" s="73"/>
      <c r="Z44" s="73"/>
    </row>
    <row r="45" spans="1:26" ht="13.2">
      <c r="A45" s="88"/>
      <c r="D45" s="73"/>
      <c r="E45" s="73"/>
      <c r="F45" s="73"/>
      <c r="G45" s="73"/>
      <c r="H45" s="73"/>
      <c r="I45" s="73"/>
      <c r="J45" s="73"/>
      <c r="K45" s="73"/>
      <c r="L45" s="73"/>
      <c r="M45" s="73"/>
      <c r="N45" s="73"/>
      <c r="O45" s="73"/>
      <c r="P45" s="73"/>
      <c r="Q45" s="73"/>
      <c r="R45" s="73"/>
      <c r="S45" s="73"/>
      <c r="T45" s="73"/>
      <c r="U45" s="73"/>
      <c r="V45" s="73"/>
      <c r="W45" s="73"/>
      <c r="X45" s="73"/>
      <c r="Y45" s="73"/>
      <c r="Z45" s="73"/>
    </row>
    <row r="46" spans="1:26" ht="13.2">
      <c r="A46" s="92" t="s">
        <v>268</v>
      </c>
      <c r="D46" s="73"/>
      <c r="E46" s="73"/>
      <c r="F46" s="73"/>
      <c r="G46" s="73"/>
      <c r="H46" s="73"/>
      <c r="I46" s="73"/>
      <c r="J46" s="73"/>
      <c r="K46" s="73"/>
      <c r="L46" s="73"/>
      <c r="M46" s="73"/>
      <c r="N46" s="73"/>
      <c r="O46" s="73"/>
      <c r="P46" s="73"/>
      <c r="Q46" s="73"/>
      <c r="R46" s="73"/>
      <c r="S46" s="73"/>
      <c r="T46" s="73"/>
      <c r="U46" s="73"/>
      <c r="V46" s="73"/>
      <c r="W46" s="73"/>
      <c r="X46" s="73"/>
      <c r="Y46" s="73"/>
      <c r="Z46" s="73"/>
    </row>
    <row r="47" spans="1:26" ht="13.2">
      <c r="D47" s="73"/>
      <c r="E47" s="73"/>
      <c r="F47" s="73"/>
      <c r="G47" s="73"/>
      <c r="H47" s="73"/>
      <c r="I47" s="73"/>
      <c r="J47" s="73"/>
      <c r="K47" s="73"/>
      <c r="L47" s="73"/>
      <c r="M47" s="73"/>
      <c r="N47" s="73"/>
      <c r="O47" s="73"/>
      <c r="P47" s="73"/>
      <c r="Q47" s="73"/>
      <c r="R47" s="73"/>
      <c r="S47" s="73"/>
      <c r="T47" s="73"/>
      <c r="U47" s="73"/>
      <c r="V47" s="73"/>
      <c r="W47" s="73"/>
      <c r="X47" s="73"/>
      <c r="Y47" s="73"/>
      <c r="Z47" s="73"/>
    </row>
    <row r="48" spans="1:26" ht="13.2">
      <c r="D48" s="73"/>
      <c r="E48" s="73"/>
      <c r="F48" s="73"/>
      <c r="G48" s="73"/>
      <c r="H48" s="73"/>
      <c r="I48" s="73"/>
      <c r="J48" s="73"/>
      <c r="K48" s="73"/>
      <c r="L48" s="73"/>
      <c r="M48" s="73"/>
      <c r="N48" s="73"/>
      <c r="O48" s="73"/>
      <c r="P48" s="73"/>
      <c r="Q48" s="73"/>
      <c r="R48" s="73"/>
      <c r="S48" s="73"/>
      <c r="T48" s="73"/>
      <c r="U48" s="73"/>
      <c r="V48" s="73"/>
      <c r="W48" s="73"/>
      <c r="X48" s="73"/>
      <c r="Y48" s="73"/>
      <c r="Z48" s="73"/>
    </row>
    <row r="49" spans="1:26" ht="13.2">
      <c r="D49" s="73"/>
      <c r="E49" s="73"/>
      <c r="F49" s="73"/>
      <c r="G49" s="73"/>
      <c r="H49" s="73"/>
      <c r="I49" s="73"/>
      <c r="J49" s="73"/>
      <c r="K49" s="73"/>
      <c r="L49" s="73"/>
      <c r="M49" s="73"/>
      <c r="N49" s="73"/>
      <c r="O49" s="73"/>
      <c r="P49" s="73"/>
      <c r="Q49" s="73"/>
      <c r="R49" s="73"/>
      <c r="S49" s="73"/>
      <c r="T49" s="73"/>
      <c r="U49" s="73"/>
      <c r="V49" s="73"/>
      <c r="W49" s="73"/>
      <c r="X49" s="73"/>
      <c r="Y49" s="73"/>
      <c r="Z49" s="73"/>
    </row>
    <row r="50" spans="1:26" ht="17.399999999999999">
      <c r="A50" s="91" t="s">
        <v>269</v>
      </c>
      <c r="D50" s="73"/>
      <c r="E50" s="73"/>
      <c r="F50" s="73"/>
      <c r="G50" s="73"/>
      <c r="H50" s="73"/>
      <c r="I50" s="73"/>
      <c r="J50" s="73"/>
      <c r="K50" s="73"/>
      <c r="L50" s="73"/>
      <c r="M50" s="73"/>
      <c r="N50" s="73"/>
      <c r="O50" s="73"/>
      <c r="P50" s="73"/>
      <c r="Q50" s="73"/>
      <c r="R50" s="73"/>
      <c r="S50" s="73"/>
      <c r="T50" s="73"/>
      <c r="U50" s="73"/>
      <c r="V50" s="73"/>
      <c r="W50" s="73"/>
      <c r="X50" s="73"/>
      <c r="Y50" s="73"/>
      <c r="Z50" s="73"/>
    </row>
    <row r="51" spans="1:26" ht="13.2">
      <c r="D51" s="73"/>
      <c r="E51" s="73"/>
      <c r="F51" s="73"/>
      <c r="G51" s="73"/>
      <c r="H51" s="73"/>
      <c r="I51" s="73"/>
      <c r="J51" s="73"/>
      <c r="K51" s="73"/>
      <c r="L51" s="73"/>
      <c r="M51" s="73"/>
      <c r="N51" s="73"/>
      <c r="O51" s="73"/>
      <c r="P51" s="73"/>
      <c r="Q51" s="73"/>
      <c r="R51" s="73"/>
      <c r="S51" s="73"/>
      <c r="T51" s="73"/>
      <c r="U51" s="73"/>
      <c r="V51" s="73"/>
      <c r="W51" s="73"/>
      <c r="X51" s="73"/>
      <c r="Y51" s="73"/>
      <c r="Z51" s="73"/>
    </row>
    <row r="52" spans="1:26" ht="15.6">
      <c r="A52" s="93" t="s">
        <v>270</v>
      </c>
      <c r="D52" s="73"/>
      <c r="E52" s="73"/>
      <c r="F52" s="73"/>
      <c r="G52" s="73"/>
      <c r="H52" s="73"/>
      <c r="I52" s="73"/>
      <c r="J52" s="73"/>
      <c r="K52" s="73"/>
      <c r="L52" s="73"/>
      <c r="M52" s="73"/>
      <c r="N52" s="73"/>
      <c r="O52" s="73"/>
      <c r="P52" s="73"/>
      <c r="Q52" s="73"/>
      <c r="R52" s="73"/>
      <c r="S52" s="73"/>
      <c r="T52" s="73"/>
      <c r="U52" s="73"/>
      <c r="V52" s="73"/>
      <c r="W52" s="73"/>
      <c r="X52" s="73"/>
      <c r="Y52" s="73"/>
      <c r="Z52" s="73"/>
    </row>
    <row r="53" spans="1:26" ht="13.2">
      <c r="A53" s="88"/>
      <c r="D53" s="73"/>
      <c r="E53" s="73"/>
      <c r="F53" s="73"/>
      <c r="G53" s="73"/>
      <c r="H53" s="73"/>
      <c r="I53" s="73"/>
      <c r="J53" s="73"/>
      <c r="K53" s="73"/>
      <c r="L53" s="73"/>
      <c r="M53" s="73"/>
      <c r="N53" s="73"/>
      <c r="O53" s="73"/>
      <c r="P53" s="73"/>
      <c r="Q53" s="73"/>
      <c r="R53" s="73"/>
      <c r="S53" s="73"/>
      <c r="T53" s="73"/>
      <c r="U53" s="73"/>
      <c r="V53" s="73"/>
      <c r="W53" s="73"/>
      <c r="X53" s="73"/>
      <c r="Y53" s="73"/>
      <c r="Z53" s="73"/>
    </row>
    <row r="54" spans="1:26" ht="13.2">
      <c r="A54" s="89" t="s">
        <v>271</v>
      </c>
      <c r="D54" s="73"/>
      <c r="E54" s="73"/>
      <c r="F54" s="73"/>
      <c r="G54" s="73"/>
      <c r="H54" s="73"/>
      <c r="I54" s="73"/>
      <c r="J54" s="73"/>
      <c r="K54" s="73"/>
      <c r="L54" s="73"/>
      <c r="M54" s="73"/>
      <c r="N54" s="73"/>
      <c r="O54" s="73"/>
      <c r="P54" s="73"/>
      <c r="Q54" s="73"/>
      <c r="R54" s="73"/>
      <c r="S54" s="73"/>
      <c r="T54" s="73"/>
      <c r="U54" s="73"/>
      <c r="V54" s="73"/>
      <c r="W54" s="73"/>
      <c r="X54" s="73"/>
      <c r="Y54" s="73"/>
      <c r="Z54" s="73"/>
    </row>
    <row r="55" spans="1:26" ht="13.2">
      <c r="D55" s="73"/>
      <c r="E55" s="73"/>
      <c r="F55" s="73"/>
      <c r="G55" s="73"/>
      <c r="H55" s="73"/>
      <c r="I55" s="73"/>
      <c r="J55" s="73"/>
      <c r="K55" s="73"/>
      <c r="L55" s="73"/>
      <c r="M55" s="73"/>
      <c r="N55" s="73"/>
      <c r="O55" s="73"/>
      <c r="P55" s="73"/>
      <c r="Q55" s="73"/>
      <c r="R55" s="73"/>
      <c r="S55" s="73"/>
      <c r="T55" s="73"/>
      <c r="U55" s="73"/>
      <c r="V55" s="73"/>
      <c r="W55" s="73"/>
      <c r="X55" s="73"/>
      <c r="Y55" s="73"/>
      <c r="Z55" s="73"/>
    </row>
    <row r="56" spans="1:26" ht="15.6">
      <c r="A56" s="93" t="s">
        <v>272</v>
      </c>
      <c r="D56" s="73"/>
      <c r="E56" s="73"/>
      <c r="F56" s="73"/>
      <c r="G56" s="73"/>
      <c r="H56" s="73"/>
      <c r="I56" s="73"/>
      <c r="J56" s="73"/>
      <c r="K56" s="73"/>
      <c r="L56" s="73"/>
      <c r="M56" s="73"/>
      <c r="N56" s="73"/>
      <c r="O56" s="73"/>
      <c r="P56" s="73"/>
      <c r="Q56" s="73"/>
      <c r="R56" s="73"/>
      <c r="S56" s="73"/>
      <c r="T56" s="73"/>
      <c r="U56" s="73"/>
      <c r="V56" s="73"/>
      <c r="W56" s="73"/>
      <c r="X56" s="73"/>
      <c r="Y56" s="73"/>
      <c r="Z56" s="73"/>
    </row>
    <row r="57" spans="1:26" ht="13.2">
      <c r="A57" s="88"/>
      <c r="D57" s="73"/>
      <c r="E57" s="73"/>
      <c r="F57" s="73"/>
      <c r="G57" s="73"/>
      <c r="H57" s="73"/>
      <c r="I57" s="73"/>
      <c r="J57" s="73"/>
      <c r="K57" s="73"/>
      <c r="L57" s="73"/>
      <c r="M57" s="73"/>
      <c r="N57" s="73"/>
      <c r="O57" s="73"/>
      <c r="P57" s="73"/>
      <c r="Q57" s="73"/>
      <c r="R57" s="73"/>
      <c r="S57" s="73"/>
      <c r="T57" s="73"/>
      <c r="U57" s="73"/>
      <c r="V57" s="73"/>
      <c r="W57" s="73"/>
      <c r="X57" s="73"/>
      <c r="Y57" s="73"/>
      <c r="Z57" s="73"/>
    </row>
    <row r="58" spans="1:26" ht="13.2">
      <c r="A58" s="89" t="s">
        <v>273</v>
      </c>
      <c r="D58" s="73"/>
      <c r="E58" s="73"/>
      <c r="F58" s="73"/>
      <c r="G58" s="73"/>
      <c r="H58" s="73"/>
      <c r="I58" s="73"/>
      <c r="J58" s="73"/>
      <c r="K58" s="73"/>
      <c r="L58" s="73"/>
      <c r="M58" s="73"/>
      <c r="N58" s="73"/>
      <c r="O58" s="73"/>
      <c r="P58" s="73"/>
      <c r="Q58" s="73"/>
      <c r="R58" s="73"/>
      <c r="S58" s="73"/>
      <c r="T58" s="73"/>
      <c r="U58" s="73"/>
      <c r="V58" s="73"/>
      <c r="W58" s="73"/>
      <c r="X58" s="73"/>
      <c r="Y58" s="73"/>
      <c r="Z58" s="73"/>
    </row>
    <row r="59" spans="1:26" ht="13.2">
      <c r="A59" s="88"/>
      <c r="D59" s="73"/>
      <c r="E59" s="73"/>
      <c r="F59" s="73"/>
      <c r="G59" s="73"/>
      <c r="H59" s="73"/>
      <c r="I59" s="73"/>
      <c r="J59" s="73"/>
      <c r="K59" s="73"/>
      <c r="L59" s="73"/>
      <c r="M59" s="73"/>
      <c r="N59" s="73"/>
      <c r="O59" s="73"/>
      <c r="P59" s="73"/>
      <c r="Q59" s="73"/>
      <c r="R59" s="73"/>
      <c r="S59" s="73"/>
      <c r="T59" s="73"/>
      <c r="U59" s="73"/>
      <c r="V59" s="73"/>
      <c r="W59" s="73"/>
      <c r="X59" s="73"/>
      <c r="Y59" s="73"/>
      <c r="Z59" s="73"/>
    </row>
    <row r="60" spans="1:26" ht="13.2">
      <c r="A60" s="89" t="s">
        <v>274</v>
      </c>
      <c r="D60" s="73"/>
      <c r="E60" s="73"/>
      <c r="F60" s="73"/>
      <c r="G60" s="73"/>
      <c r="H60" s="73"/>
      <c r="I60" s="73"/>
      <c r="J60" s="73"/>
      <c r="K60" s="73"/>
      <c r="L60" s="73"/>
      <c r="M60" s="73"/>
      <c r="N60" s="73"/>
      <c r="O60" s="73"/>
      <c r="P60" s="73"/>
      <c r="Q60" s="73"/>
      <c r="R60" s="73"/>
      <c r="S60" s="73"/>
      <c r="T60" s="73"/>
      <c r="U60" s="73"/>
      <c r="V60" s="73"/>
      <c r="W60" s="73"/>
      <c r="X60" s="73"/>
      <c r="Y60" s="73"/>
      <c r="Z60" s="73"/>
    </row>
    <row r="61" spans="1:26" ht="13.2">
      <c r="A61" s="88"/>
      <c r="D61" s="73"/>
      <c r="E61" s="73"/>
      <c r="F61" s="73"/>
      <c r="G61" s="73"/>
      <c r="H61" s="73"/>
      <c r="I61" s="73"/>
      <c r="J61" s="73"/>
      <c r="K61" s="73"/>
      <c r="L61" s="73"/>
      <c r="M61" s="73"/>
      <c r="N61" s="73"/>
      <c r="O61" s="73"/>
      <c r="P61" s="73"/>
      <c r="Q61" s="73"/>
      <c r="R61" s="73"/>
      <c r="S61" s="73"/>
      <c r="T61" s="73"/>
      <c r="U61" s="73"/>
      <c r="V61" s="73"/>
      <c r="W61" s="73"/>
      <c r="X61" s="73"/>
      <c r="Y61" s="73"/>
      <c r="Z61" s="73"/>
    </row>
    <row r="62" spans="1:26" ht="13.2">
      <c r="A62" s="89" t="s">
        <v>275</v>
      </c>
      <c r="D62" s="73"/>
      <c r="E62" s="73"/>
      <c r="F62" s="73"/>
      <c r="G62" s="73"/>
      <c r="H62" s="73"/>
      <c r="I62" s="73"/>
      <c r="J62" s="73"/>
      <c r="K62" s="73"/>
      <c r="L62" s="73"/>
      <c r="M62" s="73"/>
      <c r="N62" s="73"/>
      <c r="O62" s="73"/>
      <c r="P62" s="73"/>
      <c r="Q62" s="73"/>
      <c r="R62" s="73"/>
      <c r="S62" s="73"/>
      <c r="T62" s="73"/>
      <c r="U62" s="73"/>
      <c r="V62" s="73"/>
      <c r="W62" s="73"/>
      <c r="X62" s="73"/>
      <c r="Y62" s="73"/>
      <c r="Z62" s="73"/>
    </row>
    <row r="63" spans="1:26" ht="13.2">
      <c r="A63" s="88"/>
      <c r="D63" s="73"/>
      <c r="E63" s="73"/>
      <c r="F63" s="73"/>
      <c r="G63" s="73"/>
      <c r="H63" s="73"/>
      <c r="I63" s="73"/>
      <c r="J63" s="73"/>
      <c r="K63" s="73"/>
      <c r="L63" s="73"/>
      <c r="M63" s="73"/>
      <c r="N63" s="73"/>
      <c r="O63" s="73"/>
      <c r="P63" s="73"/>
      <c r="Q63" s="73"/>
      <c r="R63" s="73"/>
      <c r="S63" s="73"/>
      <c r="T63" s="73"/>
      <c r="U63" s="73"/>
      <c r="V63" s="73"/>
      <c r="W63" s="73"/>
      <c r="X63" s="73"/>
      <c r="Y63" s="73"/>
      <c r="Z63" s="73"/>
    </row>
    <row r="64" spans="1:26" ht="13.2">
      <c r="A64" s="89" t="s">
        <v>276</v>
      </c>
      <c r="D64" s="73"/>
      <c r="E64" s="73"/>
      <c r="F64" s="73"/>
      <c r="G64" s="73"/>
      <c r="H64" s="73"/>
      <c r="I64" s="73"/>
      <c r="J64" s="73"/>
      <c r="K64" s="73"/>
      <c r="L64" s="73"/>
      <c r="M64" s="73"/>
      <c r="N64" s="73"/>
      <c r="O64" s="73"/>
      <c r="P64" s="73"/>
      <c r="Q64" s="73"/>
      <c r="R64" s="73"/>
      <c r="S64" s="73"/>
      <c r="T64" s="73"/>
      <c r="U64" s="73"/>
      <c r="V64" s="73"/>
      <c r="W64" s="73"/>
      <c r="X64" s="73"/>
      <c r="Y64" s="73"/>
      <c r="Z64" s="73"/>
    </row>
    <row r="65" spans="1:26" ht="13.2">
      <c r="A65" s="88"/>
      <c r="D65" s="73"/>
      <c r="E65" s="73"/>
      <c r="F65" s="73"/>
      <c r="G65" s="73"/>
      <c r="H65" s="73"/>
      <c r="I65" s="73"/>
      <c r="J65" s="73"/>
      <c r="K65" s="73"/>
      <c r="L65" s="73"/>
      <c r="M65" s="73"/>
      <c r="N65" s="73"/>
      <c r="O65" s="73"/>
      <c r="P65" s="73"/>
      <c r="Q65" s="73"/>
      <c r="R65" s="73"/>
      <c r="S65" s="73"/>
      <c r="T65" s="73"/>
      <c r="U65" s="73"/>
      <c r="V65" s="73"/>
      <c r="W65" s="73"/>
      <c r="X65" s="73"/>
      <c r="Y65" s="73"/>
      <c r="Z65" s="73"/>
    </row>
    <row r="66" spans="1:26" ht="13.2">
      <c r="A66" s="89" t="s">
        <v>277</v>
      </c>
      <c r="D66" s="73"/>
      <c r="E66" s="73"/>
      <c r="F66" s="73"/>
      <c r="G66" s="73"/>
      <c r="H66" s="73"/>
      <c r="I66" s="73"/>
      <c r="J66" s="73"/>
      <c r="K66" s="73"/>
      <c r="L66" s="73"/>
      <c r="M66" s="73"/>
      <c r="N66" s="73"/>
      <c r="O66" s="73"/>
      <c r="P66" s="73"/>
      <c r="Q66" s="73"/>
      <c r="R66" s="73"/>
      <c r="S66" s="73"/>
      <c r="T66" s="73"/>
      <c r="U66" s="73"/>
      <c r="V66" s="73"/>
      <c r="W66" s="73"/>
      <c r="X66" s="73"/>
      <c r="Y66" s="73"/>
      <c r="Z66" s="73"/>
    </row>
    <row r="67" spans="1:26" ht="13.2">
      <c r="D67" s="73"/>
      <c r="E67" s="73"/>
      <c r="F67" s="73"/>
      <c r="G67" s="73"/>
      <c r="H67" s="73"/>
      <c r="I67" s="73"/>
      <c r="J67" s="73"/>
      <c r="K67" s="73"/>
      <c r="L67" s="73"/>
      <c r="M67" s="73"/>
      <c r="N67" s="73"/>
      <c r="O67" s="73"/>
      <c r="P67" s="73"/>
      <c r="Q67" s="73"/>
      <c r="R67" s="73"/>
      <c r="S67" s="73"/>
      <c r="T67" s="73"/>
      <c r="U67" s="73"/>
      <c r="V67" s="73"/>
      <c r="W67" s="73"/>
      <c r="X67" s="73"/>
      <c r="Y67" s="73"/>
      <c r="Z67" s="73"/>
    </row>
    <row r="68" spans="1:26" ht="15.6">
      <c r="A68" s="93" t="s">
        <v>278</v>
      </c>
      <c r="D68" s="73"/>
      <c r="E68" s="73"/>
      <c r="F68" s="73"/>
      <c r="G68" s="73"/>
      <c r="H68" s="73"/>
      <c r="I68" s="73"/>
      <c r="J68" s="73"/>
      <c r="K68" s="73"/>
      <c r="L68" s="73"/>
      <c r="M68" s="73"/>
      <c r="N68" s="73"/>
      <c r="O68" s="73"/>
      <c r="P68" s="73"/>
      <c r="Q68" s="73"/>
      <c r="R68" s="73"/>
      <c r="S68" s="73"/>
      <c r="T68" s="73"/>
      <c r="U68" s="73"/>
      <c r="V68" s="73"/>
      <c r="W68" s="73"/>
      <c r="X68" s="73"/>
      <c r="Y68" s="73"/>
      <c r="Z68" s="73"/>
    </row>
    <row r="69" spans="1:26" ht="13.2">
      <c r="A69" s="88"/>
      <c r="D69" s="73"/>
      <c r="E69" s="73"/>
      <c r="F69" s="73"/>
      <c r="G69" s="73"/>
      <c r="H69" s="73"/>
      <c r="I69" s="73"/>
      <c r="J69" s="73"/>
      <c r="K69" s="73"/>
      <c r="L69" s="73"/>
      <c r="M69" s="73"/>
      <c r="N69" s="73"/>
      <c r="O69" s="73"/>
      <c r="P69" s="73"/>
      <c r="Q69" s="73"/>
      <c r="R69" s="73"/>
      <c r="S69" s="73"/>
      <c r="T69" s="73"/>
      <c r="U69" s="73"/>
      <c r="V69" s="73"/>
      <c r="W69" s="73"/>
      <c r="X69" s="73"/>
      <c r="Y69" s="73"/>
      <c r="Z69" s="73"/>
    </row>
    <row r="70" spans="1:26" ht="13.2">
      <c r="A70" s="89" t="s">
        <v>279</v>
      </c>
      <c r="D70" s="73"/>
      <c r="E70" s="73"/>
      <c r="F70" s="73"/>
      <c r="G70" s="73"/>
      <c r="H70" s="73"/>
      <c r="I70" s="73"/>
      <c r="J70" s="73"/>
      <c r="K70" s="73"/>
      <c r="L70" s="73"/>
      <c r="M70" s="73"/>
      <c r="N70" s="73"/>
      <c r="O70" s="73"/>
      <c r="P70" s="73"/>
      <c r="Q70" s="73"/>
      <c r="R70" s="73"/>
      <c r="S70" s="73"/>
      <c r="T70" s="73"/>
      <c r="U70" s="73"/>
      <c r="V70" s="73"/>
      <c r="W70" s="73"/>
      <c r="X70" s="73"/>
      <c r="Y70" s="73"/>
      <c r="Z70" s="73"/>
    </row>
    <row r="71" spans="1:26" ht="13.2">
      <c r="A71" s="88"/>
      <c r="D71" s="73"/>
      <c r="E71" s="73"/>
      <c r="F71" s="73"/>
      <c r="G71" s="73"/>
      <c r="H71" s="73"/>
      <c r="I71" s="73"/>
      <c r="J71" s="73"/>
      <c r="K71" s="73"/>
      <c r="L71" s="73"/>
      <c r="M71" s="73"/>
      <c r="N71" s="73"/>
      <c r="O71" s="73"/>
      <c r="P71" s="73"/>
      <c r="Q71" s="73"/>
      <c r="R71" s="73"/>
      <c r="S71" s="73"/>
      <c r="T71" s="73"/>
      <c r="U71" s="73"/>
      <c r="V71" s="73"/>
      <c r="W71" s="73"/>
      <c r="X71" s="73"/>
      <c r="Y71" s="73"/>
      <c r="Z71" s="73"/>
    </row>
    <row r="72" spans="1:26" ht="13.2">
      <c r="A72" s="89" t="s">
        <v>280</v>
      </c>
      <c r="D72" s="73"/>
      <c r="E72" s="73"/>
      <c r="F72" s="73"/>
      <c r="G72" s="73"/>
      <c r="H72" s="73"/>
      <c r="I72" s="73"/>
      <c r="J72" s="73"/>
      <c r="K72" s="73"/>
      <c r="L72" s="73"/>
      <c r="M72" s="73"/>
      <c r="N72" s="73"/>
      <c r="O72" s="73"/>
      <c r="P72" s="73"/>
      <c r="Q72" s="73"/>
      <c r="R72" s="73"/>
      <c r="S72" s="73"/>
      <c r="T72" s="73"/>
      <c r="U72" s="73"/>
      <c r="V72" s="73"/>
      <c r="W72" s="73"/>
      <c r="X72" s="73"/>
      <c r="Y72" s="73"/>
      <c r="Z72" s="73"/>
    </row>
    <row r="73" spans="1:26" ht="13.2">
      <c r="A73" s="88"/>
      <c r="D73" s="73"/>
      <c r="E73" s="73"/>
      <c r="F73" s="73"/>
      <c r="G73" s="73"/>
      <c r="H73" s="73"/>
      <c r="I73" s="73"/>
      <c r="J73" s="73"/>
      <c r="K73" s="73"/>
      <c r="L73" s="73"/>
      <c r="M73" s="73"/>
      <c r="N73" s="73"/>
      <c r="O73" s="73"/>
      <c r="P73" s="73"/>
      <c r="Q73" s="73"/>
      <c r="R73" s="73"/>
      <c r="S73" s="73"/>
      <c r="T73" s="73"/>
      <c r="U73" s="73"/>
      <c r="V73" s="73"/>
      <c r="W73" s="73"/>
      <c r="X73" s="73"/>
      <c r="Y73" s="73"/>
      <c r="Z73" s="73"/>
    </row>
    <row r="74" spans="1:26" ht="13.2">
      <c r="A74" s="89" t="s">
        <v>281</v>
      </c>
      <c r="D74" s="73"/>
      <c r="E74" s="73"/>
      <c r="F74" s="73"/>
      <c r="G74" s="73"/>
      <c r="H74" s="73"/>
      <c r="I74" s="73"/>
      <c r="J74" s="73"/>
      <c r="K74" s="73"/>
      <c r="L74" s="73"/>
      <c r="M74" s="73"/>
      <c r="N74" s="73"/>
      <c r="O74" s="73"/>
      <c r="P74" s="73"/>
      <c r="Q74" s="73"/>
      <c r="R74" s="73"/>
      <c r="S74" s="73"/>
      <c r="T74" s="73"/>
      <c r="U74" s="73"/>
      <c r="V74" s="73"/>
      <c r="W74" s="73"/>
      <c r="X74" s="73"/>
      <c r="Y74" s="73"/>
      <c r="Z74" s="73"/>
    </row>
    <row r="75" spans="1:26" ht="13.2">
      <c r="D75" s="73"/>
      <c r="E75" s="73"/>
      <c r="F75" s="73"/>
      <c r="G75" s="73"/>
      <c r="H75" s="73"/>
      <c r="I75" s="73"/>
      <c r="J75" s="73"/>
      <c r="K75" s="73"/>
      <c r="L75" s="73"/>
      <c r="M75" s="73"/>
      <c r="N75" s="73"/>
      <c r="O75" s="73"/>
      <c r="P75" s="73"/>
      <c r="Q75" s="73"/>
      <c r="R75" s="73"/>
      <c r="S75" s="73"/>
      <c r="T75" s="73"/>
      <c r="U75" s="73"/>
      <c r="V75" s="73"/>
      <c r="W75" s="73"/>
      <c r="X75" s="73"/>
      <c r="Y75" s="73"/>
      <c r="Z75" s="73"/>
    </row>
    <row r="76" spans="1:26" ht="13.2">
      <c r="D76" s="73"/>
      <c r="E76" s="73"/>
      <c r="F76" s="73"/>
      <c r="G76" s="73"/>
      <c r="H76" s="73"/>
      <c r="I76" s="73"/>
      <c r="J76" s="73"/>
      <c r="K76" s="73"/>
      <c r="L76" s="73"/>
      <c r="M76" s="73"/>
      <c r="N76" s="73"/>
      <c r="O76" s="73"/>
      <c r="P76" s="73"/>
      <c r="Q76" s="73"/>
      <c r="R76" s="73"/>
      <c r="S76" s="73"/>
      <c r="T76" s="73"/>
      <c r="U76" s="73"/>
      <c r="V76" s="73"/>
      <c r="W76" s="73"/>
      <c r="X76" s="73"/>
      <c r="Y76" s="73"/>
      <c r="Z76" s="73"/>
    </row>
    <row r="77" spans="1:26" ht="13.2">
      <c r="D77" s="73"/>
      <c r="E77" s="73"/>
      <c r="F77" s="73"/>
      <c r="G77" s="73"/>
      <c r="H77" s="73"/>
      <c r="I77" s="73"/>
      <c r="J77" s="73"/>
      <c r="K77" s="73"/>
      <c r="L77" s="73"/>
      <c r="M77" s="73"/>
      <c r="N77" s="73"/>
      <c r="O77" s="73"/>
      <c r="P77" s="73"/>
      <c r="Q77" s="73"/>
      <c r="R77" s="73"/>
      <c r="S77" s="73"/>
      <c r="T77" s="73"/>
      <c r="U77" s="73"/>
      <c r="V77" s="73"/>
      <c r="W77" s="73"/>
      <c r="X77" s="73"/>
      <c r="Y77" s="73"/>
      <c r="Z77" s="73"/>
    </row>
    <row r="78" spans="1:26" ht="17.399999999999999">
      <c r="A78" s="91" t="s">
        <v>282</v>
      </c>
      <c r="D78" s="73"/>
      <c r="E78" s="73"/>
      <c r="F78" s="73"/>
      <c r="G78" s="73"/>
      <c r="H78" s="73"/>
      <c r="I78" s="73"/>
      <c r="J78" s="73"/>
      <c r="K78" s="73"/>
      <c r="L78" s="73"/>
      <c r="M78" s="73"/>
      <c r="N78" s="73"/>
      <c r="O78" s="73"/>
      <c r="P78" s="73"/>
      <c r="Q78" s="73"/>
      <c r="R78" s="73"/>
      <c r="S78" s="73"/>
      <c r="T78" s="73"/>
      <c r="U78" s="73"/>
      <c r="V78" s="73"/>
      <c r="W78" s="73"/>
      <c r="X78" s="73"/>
      <c r="Y78" s="73"/>
      <c r="Z78" s="73"/>
    </row>
    <row r="79" spans="1:26" ht="13.2">
      <c r="D79" s="73"/>
      <c r="E79" s="73"/>
      <c r="F79" s="73"/>
      <c r="G79" s="73"/>
      <c r="H79" s="73"/>
      <c r="I79" s="73"/>
      <c r="J79" s="73"/>
      <c r="K79" s="73"/>
      <c r="L79" s="73"/>
      <c r="M79" s="73"/>
      <c r="N79" s="73"/>
      <c r="O79" s="73"/>
      <c r="P79" s="73"/>
      <c r="Q79" s="73"/>
      <c r="R79" s="73"/>
      <c r="S79" s="73"/>
      <c r="T79" s="73"/>
      <c r="U79" s="73"/>
      <c r="V79" s="73"/>
      <c r="W79" s="73"/>
      <c r="X79" s="73"/>
      <c r="Y79" s="73"/>
      <c r="Z79" s="73"/>
    </row>
    <row r="80" spans="1:26" ht="15.6">
      <c r="A80" s="93" t="s">
        <v>270</v>
      </c>
      <c r="D80" s="73"/>
      <c r="E80" s="73"/>
      <c r="F80" s="73"/>
      <c r="G80" s="73"/>
      <c r="H80" s="73"/>
      <c r="I80" s="73"/>
      <c r="J80" s="73"/>
      <c r="K80" s="73"/>
      <c r="L80" s="73"/>
      <c r="M80" s="73"/>
      <c r="N80" s="73"/>
      <c r="O80" s="73"/>
      <c r="P80" s="73"/>
      <c r="Q80" s="73"/>
      <c r="R80" s="73"/>
      <c r="S80" s="73"/>
      <c r="T80" s="73"/>
      <c r="U80" s="73"/>
      <c r="V80" s="73"/>
      <c r="W80" s="73"/>
      <c r="X80" s="73"/>
      <c r="Y80" s="73"/>
      <c r="Z80" s="73"/>
    </row>
    <row r="81" spans="1:26" ht="13.2">
      <c r="A81" s="88"/>
      <c r="D81" s="73"/>
      <c r="E81" s="73"/>
      <c r="F81" s="73"/>
      <c r="G81" s="73"/>
      <c r="H81" s="73"/>
      <c r="I81" s="73"/>
      <c r="J81" s="73"/>
      <c r="K81" s="73"/>
      <c r="L81" s="73"/>
      <c r="M81" s="73"/>
      <c r="N81" s="73"/>
      <c r="O81" s="73"/>
      <c r="P81" s="73"/>
      <c r="Q81" s="73"/>
      <c r="R81" s="73"/>
      <c r="S81" s="73"/>
      <c r="T81" s="73"/>
      <c r="U81" s="73"/>
      <c r="V81" s="73"/>
      <c r="W81" s="73"/>
      <c r="X81" s="73"/>
      <c r="Y81" s="73"/>
      <c r="Z81" s="73"/>
    </row>
    <row r="82" spans="1:26" ht="13.2">
      <c r="A82" s="89" t="s">
        <v>283</v>
      </c>
      <c r="D82" s="73"/>
      <c r="E82" s="73"/>
      <c r="F82" s="73"/>
      <c r="G82" s="73"/>
      <c r="H82" s="73"/>
      <c r="I82" s="73"/>
      <c r="J82" s="73"/>
      <c r="K82" s="73"/>
      <c r="L82" s="73"/>
      <c r="M82" s="73"/>
      <c r="N82" s="73"/>
      <c r="O82" s="73"/>
      <c r="P82" s="73"/>
      <c r="Q82" s="73"/>
      <c r="R82" s="73"/>
      <c r="S82" s="73"/>
      <c r="T82" s="73"/>
      <c r="U82" s="73"/>
      <c r="V82" s="73"/>
      <c r="W82" s="73"/>
      <c r="X82" s="73"/>
      <c r="Y82" s="73"/>
      <c r="Z82" s="73"/>
    </row>
    <row r="83" spans="1:26" ht="13.2">
      <c r="D83" s="73"/>
      <c r="E83" s="73"/>
      <c r="F83" s="73"/>
      <c r="G83" s="73"/>
      <c r="H83" s="73"/>
      <c r="I83" s="73"/>
      <c r="J83" s="73"/>
      <c r="K83" s="73"/>
      <c r="L83" s="73"/>
      <c r="M83" s="73"/>
      <c r="N83" s="73"/>
      <c r="O83" s="73"/>
      <c r="P83" s="73"/>
      <c r="Q83" s="73"/>
      <c r="R83" s="73"/>
      <c r="S83" s="73"/>
      <c r="T83" s="73"/>
      <c r="U83" s="73"/>
      <c r="V83" s="73"/>
      <c r="W83" s="73"/>
      <c r="X83" s="73"/>
      <c r="Y83" s="73"/>
      <c r="Z83" s="73"/>
    </row>
    <row r="84" spans="1:26" ht="15.6">
      <c r="A84" s="93" t="s">
        <v>272</v>
      </c>
      <c r="D84" s="73"/>
      <c r="E84" s="73"/>
      <c r="F84" s="73"/>
      <c r="G84" s="73"/>
      <c r="H84" s="73"/>
      <c r="I84" s="73"/>
      <c r="J84" s="73"/>
      <c r="K84" s="73"/>
      <c r="L84" s="73"/>
      <c r="M84" s="73"/>
      <c r="N84" s="73"/>
      <c r="O84" s="73"/>
      <c r="P84" s="73"/>
      <c r="Q84" s="73"/>
      <c r="R84" s="73"/>
      <c r="S84" s="73"/>
      <c r="T84" s="73"/>
      <c r="U84" s="73"/>
      <c r="V84" s="73"/>
      <c r="W84" s="73"/>
      <c r="X84" s="73"/>
      <c r="Y84" s="73"/>
      <c r="Z84" s="73"/>
    </row>
    <row r="85" spans="1:26" ht="13.2">
      <c r="A85" s="88"/>
      <c r="D85" s="73"/>
      <c r="E85" s="73"/>
      <c r="F85" s="73"/>
      <c r="G85" s="73"/>
      <c r="H85" s="73"/>
      <c r="I85" s="73"/>
      <c r="J85" s="73"/>
      <c r="K85" s="73"/>
      <c r="L85" s="73"/>
      <c r="M85" s="73"/>
      <c r="N85" s="73"/>
      <c r="O85" s="73"/>
      <c r="P85" s="73"/>
      <c r="Q85" s="73"/>
      <c r="R85" s="73"/>
      <c r="S85" s="73"/>
      <c r="T85" s="73"/>
      <c r="U85" s="73"/>
      <c r="V85" s="73"/>
      <c r="W85" s="73"/>
      <c r="X85" s="73"/>
      <c r="Y85" s="73"/>
      <c r="Z85" s="73"/>
    </row>
    <row r="86" spans="1:26" ht="13.2">
      <c r="A86" s="89" t="s">
        <v>284</v>
      </c>
      <c r="D86" s="73"/>
      <c r="E86" s="73"/>
      <c r="F86" s="73"/>
      <c r="G86" s="73"/>
      <c r="H86" s="73"/>
      <c r="I86" s="73"/>
      <c r="J86" s="73"/>
      <c r="K86" s="73"/>
      <c r="L86" s="73"/>
      <c r="M86" s="73"/>
      <c r="N86" s="73"/>
      <c r="O86" s="73"/>
      <c r="P86" s="73"/>
      <c r="Q86" s="73"/>
      <c r="R86" s="73"/>
      <c r="S86" s="73"/>
      <c r="T86" s="73"/>
      <c r="U86" s="73"/>
      <c r="V86" s="73"/>
      <c r="W86" s="73"/>
      <c r="X86" s="73"/>
      <c r="Y86" s="73"/>
      <c r="Z86" s="73"/>
    </row>
    <row r="87" spans="1:26" ht="13.2">
      <c r="A87" s="88"/>
      <c r="D87" s="73"/>
      <c r="E87" s="73"/>
      <c r="F87" s="73"/>
      <c r="G87" s="73"/>
      <c r="H87" s="73"/>
      <c r="I87" s="73"/>
      <c r="J87" s="73"/>
      <c r="K87" s="73"/>
      <c r="L87" s="73"/>
      <c r="M87" s="73"/>
      <c r="N87" s="73"/>
      <c r="O87" s="73"/>
      <c r="P87" s="73"/>
      <c r="Q87" s="73"/>
      <c r="R87" s="73"/>
      <c r="S87" s="73"/>
      <c r="T87" s="73"/>
      <c r="U87" s="73"/>
      <c r="V87" s="73"/>
      <c r="W87" s="73"/>
      <c r="X87" s="73"/>
      <c r="Y87" s="73"/>
      <c r="Z87" s="73"/>
    </row>
    <row r="88" spans="1:26" ht="13.2">
      <c r="A88" s="89" t="s">
        <v>285</v>
      </c>
      <c r="D88" s="73"/>
      <c r="E88" s="73"/>
      <c r="F88" s="73"/>
      <c r="G88" s="73"/>
      <c r="H88" s="73"/>
      <c r="I88" s="73"/>
      <c r="J88" s="73"/>
      <c r="K88" s="73"/>
      <c r="L88" s="73"/>
      <c r="M88" s="73"/>
      <c r="N88" s="73"/>
      <c r="O88" s="73"/>
      <c r="P88" s="73"/>
      <c r="Q88" s="73"/>
      <c r="R88" s="73"/>
      <c r="S88" s="73"/>
      <c r="T88" s="73"/>
      <c r="U88" s="73"/>
      <c r="V88" s="73"/>
      <c r="W88" s="73"/>
      <c r="X88" s="73"/>
      <c r="Y88" s="73"/>
      <c r="Z88" s="73"/>
    </row>
    <row r="89" spans="1:26" ht="13.2">
      <c r="A89" s="88"/>
      <c r="D89" s="73"/>
      <c r="E89" s="73"/>
      <c r="F89" s="73"/>
      <c r="G89" s="73"/>
      <c r="H89" s="73"/>
      <c r="I89" s="73"/>
      <c r="J89" s="73"/>
      <c r="K89" s="73"/>
      <c r="L89" s="73"/>
      <c r="M89" s="73"/>
      <c r="N89" s="73"/>
      <c r="O89" s="73"/>
      <c r="P89" s="73"/>
      <c r="Q89" s="73"/>
      <c r="R89" s="73"/>
      <c r="S89" s="73"/>
      <c r="T89" s="73"/>
      <c r="U89" s="73"/>
      <c r="V89" s="73"/>
      <c r="W89" s="73"/>
      <c r="X89" s="73"/>
      <c r="Y89" s="73"/>
      <c r="Z89" s="73"/>
    </row>
    <row r="90" spans="1:26" ht="13.2">
      <c r="A90" s="89" t="s">
        <v>286</v>
      </c>
      <c r="D90" s="73"/>
      <c r="E90" s="73"/>
      <c r="F90" s="73"/>
      <c r="G90" s="73"/>
      <c r="H90" s="73"/>
      <c r="I90" s="73"/>
      <c r="J90" s="73"/>
      <c r="K90" s="73"/>
      <c r="L90" s="73"/>
      <c r="M90" s="73"/>
      <c r="N90" s="73"/>
      <c r="O90" s="73"/>
      <c r="P90" s="73"/>
      <c r="Q90" s="73"/>
      <c r="R90" s="73"/>
      <c r="S90" s="73"/>
      <c r="T90" s="73"/>
      <c r="U90" s="73"/>
      <c r="V90" s="73"/>
      <c r="W90" s="73"/>
      <c r="X90" s="73"/>
      <c r="Y90" s="73"/>
      <c r="Z90" s="73"/>
    </row>
    <row r="91" spans="1:26" ht="13.2">
      <c r="A91" s="88"/>
      <c r="D91" s="73"/>
      <c r="E91" s="73"/>
      <c r="F91" s="73"/>
      <c r="G91" s="73"/>
      <c r="H91" s="73"/>
      <c r="I91" s="73"/>
      <c r="J91" s="73"/>
      <c r="K91" s="73"/>
      <c r="L91" s="73"/>
      <c r="M91" s="73"/>
      <c r="N91" s="73"/>
      <c r="O91" s="73"/>
      <c r="P91" s="73"/>
      <c r="Q91" s="73"/>
      <c r="R91" s="73"/>
      <c r="S91" s="73"/>
      <c r="T91" s="73"/>
      <c r="U91" s="73"/>
      <c r="V91" s="73"/>
      <c r="W91" s="73"/>
      <c r="X91" s="73"/>
      <c r="Y91" s="73"/>
      <c r="Z91" s="73"/>
    </row>
    <row r="92" spans="1:26" ht="13.2">
      <c r="A92" s="89" t="s">
        <v>287</v>
      </c>
      <c r="D92" s="73"/>
      <c r="E92" s="73"/>
      <c r="F92" s="73"/>
      <c r="G92" s="73"/>
      <c r="H92" s="73"/>
      <c r="I92" s="73"/>
      <c r="J92" s="73"/>
      <c r="K92" s="73"/>
      <c r="L92" s="73"/>
      <c r="M92" s="73"/>
      <c r="N92" s="73"/>
      <c r="O92" s="73"/>
      <c r="P92" s="73"/>
      <c r="Q92" s="73"/>
      <c r="R92" s="73"/>
      <c r="S92" s="73"/>
      <c r="T92" s="73"/>
      <c r="U92" s="73"/>
      <c r="V92" s="73"/>
      <c r="W92" s="73"/>
      <c r="X92" s="73"/>
      <c r="Y92" s="73"/>
      <c r="Z92" s="73"/>
    </row>
    <row r="93" spans="1:26" ht="13.2">
      <c r="D93" s="73"/>
      <c r="E93" s="73"/>
      <c r="F93" s="73"/>
      <c r="G93" s="73"/>
      <c r="H93" s="73"/>
      <c r="I93" s="73"/>
      <c r="J93" s="73"/>
      <c r="K93" s="73"/>
      <c r="L93" s="73"/>
      <c r="M93" s="73"/>
      <c r="N93" s="73"/>
      <c r="O93" s="73"/>
      <c r="P93" s="73"/>
      <c r="Q93" s="73"/>
      <c r="R93" s="73"/>
      <c r="S93" s="73"/>
      <c r="T93" s="73"/>
      <c r="U93" s="73"/>
      <c r="V93" s="73"/>
      <c r="W93" s="73"/>
      <c r="X93" s="73"/>
      <c r="Y93" s="73"/>
      <c r="Z93" s="73"/>
    </row>
    <row r="94" spans="1:26" ht="15.6">
      <c r="A94" s="93" t="s">
        <v>278</v>
      </c>
      <c r="D94" s="73"/>
      <c r="E94" s="73"/>
      <c r="F94" s="73"/>
      <c r="G94" s="73"/>
      <c r="H94" s="73"/>
      <c r="I94" s="73"/>
      <c r="J94" s="73"/>
      <c r="K94" s="73"/>
      <c r="L94" s="73"/>
      <c r="M94" s="73"/>
      <c r="N94" s="73"/>
      <c r="O94" s="73"/>
      <c r="P94" s="73"/>
      <c r="Q94" s="73"/>
      <c r="R94" s="73"/>
      <c r="S94" s="73"/>
      <c r="T94" s="73"/>
      <c r="U94" s="73"/>
      <c r="V94" s="73"/>
      <c r="W94" s="73"/>
      <c r="X94" s="73"/>
      <c r="Y94" s="73"/>
      <c r="Z94" s="73"/>
    </row>
    <row r="95" spans="1:26" ht="13.2">
      <c r="A95" s="88"/>
      <c r="D95" s="73"/>
      <c r="E95" s="73"/>
      <c r="F95" s="73"/>
      <c r="G95" s="73"/>
      <c r="H95" s="73"/>
      <c r="I95" s="73"/>
      <c r="J95" s="73"/>
      <c r="K95" s="73"/>
      <c r="L95" s="73"/>
      <c r="M95" s="73"/>
      <c r="N95" s="73"/>
      <c r="O95" s="73"/>
      <c r="P95" s="73"/>
      <c r="Q95" s="73"/>
      <c r="R95" s="73"/>
      <c r="S95" s="73"/>
      <c r="T95" s="73"/>
      <c r="U95" s="73"/>
      <c r="V95" s="73"/>
      <c r="W95" s="73"/>
      <c r="X95" s="73"/>
      <c r="Y95" s="73"/>
      <c r="Z95" s="73"/>
    </row>
    <row r="96" spans="1:26" ht="13.2">
      <c r="A96" s="89" t="s">
        <v>288</v>
      </c>
      <c r="D96" s="73"/>
      <c r="E96" s="73"/>
      <c r="F96" s="73"/>
      <c r="G96" s="73"/>
      <c r="H96" s="73"/>
      <c r="I96" s="73"/>
      <c r="J96" s="73"/>
      <c r="K96" s="73"/>
      <c r="L96" s="73"/>
      <c r="M96" s="73"/>
      <c r="N96" s="73"/>
      <c r="O96" s="73"/>
      <c r="P96" s="73"/>
      <c r="Q96" s="73"/>
      <c r="R96" s="73"/>
      <c r="S96" s="73"/>
      <c r="T96" s="73"/>
      <c r="U96" s="73"/>
      <c r="V96" s="73"/>
      <c r="W96" s="73"/>
      <c r="X96" s="73"/>
      <c r="Y96" s="73"/>
      <c r="Z96" s="73"/>
    </row>
    <row r="97" spans="1:26" ht="13.2">
      <c r="A97" s="88"/>
      <c r="D97" s="73"/>
      <c r="E97" s="73"/>
      <c r="F97" s="73"/>
      <c r="G97" s="73"/>
      <c r="H97" s="73"/>
      <c r="I97" s="73"/>
      <c r="J97" s="73"/>
      <c r="K97" s="73"/>
      <c r="L97" s="73"/>
      <c r="M97" s="73"/>
      <c r="N97" s="73"/>
      <c r="O97" s="73"/>
      <c r="P97" s="73"/>
      <c r="Q97" s="73"/>
      <c r="R97" s="73"/>
      <c r="S97" s="73"/>
      <c r="T97" s="73"/>
      <c r="U97" s="73"/>
      <c r="V97" s="73"/>
      <c r="W97" s="73"/>
      <c r="X97" s="73"/>
      <c r="Y97" s="73"/>
      <c r="Z97" s="73"/>
    </row>
    <row r="98" spans="1:26" ht="13.2">
      <c r="A98" s="89" t="s">
        <v>289</v>
      </c>
      <c r="D98" s="73"/>
      <c r="E98" s="73"/>
      <c r="F98" s="73"/>
      <c r="G98" s="73"/>
      <c r="H98" s="73"/>
      <c r="I98" s="73"/>
      <c r="J98" s="73"/>
      <c r="K98" s="73"/>
      <c r="L98" s="73"/>
      <c r="M98" s="73"/>
      <c r="N98" s="73"/>
      <c r="O98" s="73"/>
      <c r="P98" s="73"/>
      <c r="Q98" s="73"/>
      <c r="R98" s="73"/>
      <c r="S98" s="73"/>
      <c r="T98" s="73"/>
      <c r="U98" s="73"/>
      <c r="V98" s="73"/>
      <c r="W98" s="73"/>
      <c r="X98" s="73"/>
      <c r="Y98" s="73"/>
      <c r="Z98" s="73"/>
    </row>
    <row r="99" spans="1:26" ht="13.2">
      <c r="A99" s="88"/>
      <c r="D99" s="73"/>
      <c r="E99" s="73"/>
      <c r="F99" s="73"/>
      <c r="G99" s="73"/>
      <c r="H99" s="73"/>
      <c r="I99" s="73"/>
      <c r="J99" s="73"/>
      <c r="K99" s="73"/>
      <c r="L99" s="73"/>
      <c r="M99" s="73"/>
      <c r="N99" s="73"/>
      <c r="O99" s="73"/>
      <c r="P99" s="73"/>
      <c r="Q99" s="73"/>
      <c r="R99" s="73"/>
      <c r="S99" s="73"/>
      <c r="T99" s="73"/>
      <c r="U99" s="73"/>
      <c r="V99" s="73"/>
      <c r="W99" s="73"/>
      <c r="X99" s="73"/>
      <c r="Y99" s="73"/>
      <c r="Z99" s="73"/>
    </row>
    <row r="100" spans="1:26" ht="13.2">
      <c r="A100" s="89" t="s">
        <v>290</v>
      </c>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3.2">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3.2">
      <c r="A102" s="71" t="s">
        <v>291</v>
      </c>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3.2">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3.2">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3.2">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7.399999999999999">
      <c r="A106" s="91" t="s">
        <v>292</v>
      </c>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3.2">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5.6">
      <c r="A108" s="93" t="s">
        <v>270</v>
      </c>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3.2">
      <c r="A109" s="88"/>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3.2">
      <c r="A110" s="89" t="s">
        <v>293</v>
      </c>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3.2">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5.6">
      <c r="A112" s="93" t="s">
        <v>272</v>
      </c>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3.2">
      <c r="A113" s="88"/>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3.2">
      <c r="A114" s="89" t="s">
        <v>294</v>
      </c>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3.2">
      <c r="A115" s="88"/>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3.2">
      <c r="A116" s="89" t="s">
        <v>295</v>
      </c>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3.2">
      <c r="A117" s="88"/>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3.2">
      <c r="A118" s="89" t="s">
        <v>296</v>
      </c>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3.2">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5.6">
      <c r="A120" s="93" t="s">
        <v>278</v>
      </c>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3.2">
      <c r="A121" s="88"/>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3.2">
      <c r="A122" s="89" t="s">
        <v>297</v>
      </c>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3.2">
      <c r="A123" s="88"/>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3.2">
      <c r="A124" s="89" t="s">
        <v>298</v>
      </c>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3.2">
      <c r="A125" s="88"/>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3.2">
      <c r="A126" s="89" t="s">
        <v>299</v>
      </c>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3.2">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3.2">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3.2">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7.399999999999999">
      <c r="A130" s="91" t="s">
        <v>300</v>
      </c>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3.2">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5.6">
      <c r="A132" s="93" t="s">
        <v>270</v>
      </c>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3.2">
      <c r="A133" s="88"/>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3.2">
      <c r="A134" s="89" t="s">
        <v>301</v>
      </c>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3.2">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5.6">
      <c r="A136" s="93" t="s">
        <v>272</v>
      </c>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3.2">
      <c r="A137" s="88"/>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3.2">
      <c r="A138" s="89" t="s">
        <v>302</v>
      </c>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3.2">
      <c r="A139" s="88"/>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3.2">
      <c r="A140" s="89" t="s">
        <v>303</v>
      </c>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3.2">
      <c r="A141" s="88"/>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3.2">
      <c r="A142" s="89" t="s">
        <v>304</v>
      </c>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3.2">
      <c r="A143" s="88"/>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3.2">
      <c r="A144" s="89" t="s">
        <v>305</v>
      </c>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3.2">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5.6">
      <c r="A146" s="93" t="s">
        <v>278</v>
      </c>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3.2">
      <c r="A147" s="88"/>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3.2">
      <c r="A148" s="89" t="s">
        <v>306</v>
      </c>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3.2">
      <c r="A149" s="88"/>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3.2">
      <c r="A150" s="89" t="s">
        <v>307</v>
      </c>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3.2">
      <c r="A151" s="88"/>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3.2">
      <c r="A152" s="89" t="s">
        <v>308</v>
      </c>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3.2">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3.2">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3.2">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7.399999999999999">
      <c r="A156" s="91" t="s">
        <v>309</v>
      </c>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3.2">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5.6">
      <c r="A158" s="93" t="s">
        <v>270</v>
      </c>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3.2">
      <c r="A159" s="88"/>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3.2">
      <c r="A160" s="89" t="s">
        <v>310</v>
      </c>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3.2">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5.6">
      <c r="A162" s="93" t="s">
        <v>272</v>
      </c>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3.2">
      <c r="A163" s="88"/>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3.2">
      <c r="A164" s="89" t="s">
        <v>311</v>
      </c>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3.2">
      <c r="A165" s="88"/>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3.2">
      <c r="A166" s="89" t="s">
        <v>312</v>
      </c>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3.2">
      <c r="A167" s="88"/>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3.2">
      <c r="A168" s="89" t="s">
        <v>313</v>
      </c>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3.2">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3.2">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3.2">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22.8">
      <c r="A172" s="90" t="s">
        <v>314</v>
      </c>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3.2">
      <c r="A173" s="88"/>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3.2">
      <c r="A174" s="89" t="s">
        <v>315</v>
      </c>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3.2">
      <c r="A175" s="88"/>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3.2">
      <c r="A176" s="89" t="s">
        <v>316</v>
      </c>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3.2">
      <c r="A177" s="88"/>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3.2">
      <c r="A178" s="89" t="s">
        <v>317</v>
      </c>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3.2">
      <c r="A179" s="88"/>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3.2">
      <c r="A180" s="88"/>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3.2">
      <c r="A181" s="88"/>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3.2">
      <c r="A182" s="89" t="s">
        <v>318</v>
      </c>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3.2">
      <c r="A183" s="88"/>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3.2">
      <c r="A184" s="89" t="s">
        <v>319</v>
      </c>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3.2">
      <c r="A185" s="88"/>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3.2">
      <c r="A186" s="89" t="s">
        <v>320</v>
      </c>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3.2">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3.2">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3.2">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3.2">
      <c r="A190" s="71" t="s">
        <v>321</v>
      </c>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3.2">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3.2">
      <c r="A192" s="71" t="s">
        <v>322</v>
      </c>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3.2">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3.2">
      <c r="A194" s="86"/>
      <c r="B194" s="86"/>
      <c r="C194" s="86"/>
      <c r="D194" s="86"/>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3.2">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39.6">
      <c r="A196" s="73" t="s">
        <v>323</v>
      </c>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3.2">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3.2">
      <c r="A198" s="73" t="s">
        <v>324</v>
      </c>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3.2">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3.2">
      <c r="A200" s="73" t="s">
        <v>325</v>
      </c>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3.2">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3.2">
      <c r="A202" s="73" t="s">
        <v>326</v>
      </c>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3.2">
      <c r="A203" s="73" t="s">
        <v>327</v>
      </c>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3.2">
      <c r="A204" s="73" t="s">
        <v>328</v>
      </c>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3.2">
      <c r="A205" s="73" t="s">
        <v>329</v>
      </c>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3.2">
      <c r="A206" s="73" t="s">
        <v>330</v>
      </c>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3.2">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3.2">
      <c r="A208" s="73" t="s">
        <v>324</v>
      </c>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3.2">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3.2">
      <c r="A210" s="73" t="s">
        <v>331</v>
      </c>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3.2">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3.2">
      <c r="A212" s="73" t="s">
        <v>332</v>
      </c>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3.2">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3.2">
      <c r="A214" s="73" t="s">
        <v>333</v>
      </c>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3.2">
      <c r="A215" s="73" t="s">
        <v>334</v>
      </c>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3.2">
      <c r="A216" s="73" t="s">
        <v>335</v>
      </c>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3.2">
      <c r="A217" s="73" t="s">
        <v>336</v>
      </c>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3.2">
      <c r="A218" s="73" t="s">
        <v>337</v>
      </c>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3.2">
      <c r="A219" s="73" t="s">
        <v>338</v>
      </c>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3.2">
      <c r="A220" s="73" t="s">
        <v>339</v>
      </c>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3.2">
      <c r="A221" s="73" t="s">
        <v>340</v>
      </c>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3.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3.2">
      <c r="A223" s="73" t="s">
        <v>341</v>
      </c>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3.2">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3.2">
      <c r="A225" s="73" t="s">
        <v>324</v>
      </c>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3.2">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3.2">
      <c r="A227" s="73" t="s">
        <v>342</v>
      </c>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3.2">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3.2">
      <c r="A229" s="73" t="s">
        <v>343</v>
      </c>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3.2">
      <c r="A230" s="73" t="s">
        <v>344</v>
      </c>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3.2">
      <c r="A231" s="73" t="s">
        <v>345</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3.2">
      <c r="A232" s="73" t="s">
        <v>346</v>
      </c>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3.2">
      <c r="A233" s="73" t="s">
        <v>347</v>
      </c>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3.2">
      <c r="A234" s="73" t="s">
        <v>348</v>
      </c>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3.2">
      <c r="A235" s="73" t="s">
        <v>349</v>
      </c>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3.2">
      <c r="A236" s="73" t="s">
        <v>350</v>
      </c>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3.2">
      <c r="A237" s="73" t="s">
        <v>351</v>
      </c>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3.2">
      <c r="A238" s="73" t="s">
        <v>352</v>
      </c>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3.2">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3.2">
      <c r="A240" s="73" t="s">
        <v>353</v>
      </c>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3.2">
      <c r="A241" s="73" t="s">
        <v>354</v>
      </c>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3.2">
      <c r="A242" s="73" t="s">
        <v>355</v>
      </c>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3.2">
      <c r="A243" s="73" t="e">
        <f>- Ghi lại các lỗi sai → phân tích lại lý thuyết đi kèm</f>
        <v>#NAME?</v>
      </c>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3.2">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3.2">
      <c r="A245" s="73" t="s">
        <v>324</v>
      </c>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3.2">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3.2">
      <c r="A247" s="73" t="s">
        <v>356</v>
      </c>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3.2">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3.2">
      <c r="A249" s="73" t="s">
        <v>357</v>
      </c>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3.2">
      <c r="A250" s="73" t="s">
        <v>358</v>
      </c>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3.2">
      <c r="A251" s="73" t="s">
        <v>359</v>
      </c>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3.2">
      <c r="A252" s="73" t="s">
        <v>360</v>
      </c>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3.2">
      <c r="A253" s="73" t="s">
        <v>361</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3.2">
      <c r="A254" s="73" t="s">
        <v>362</v>
      </c>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3.2">
      <c r="A255" s="73" t="s">
        <v>363</v>
      </c>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3.2">
      <c r="A256" s="73" t="s">
        <v>364</v>
      </c>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3.2">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3.2">
      <c r="A258" s="73" t="s">
        <v>365</v>
      </c>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3.2">
      <c r="A259" s="73" t="e">
        <f>- Tham khảo Agile/Scrum framework cơ bản để hiểu vai trò PM/Product Owner</f>
        <v>#NAME?</v>
      </c>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3.2">
      <c r="A260" s="73" t="e">
        <f>- Luyện kỹ năng presentation kỹ thuật bằng cách demo chính project cá nhân của bạn</f>
        <v>#NAME?</v>
      </c>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3.2">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3.2">
      <c r="A262" s="73" t="s">
        <v>324</v>
      </c>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3.2">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3.2">
      <c r="A264" s="73" t="s">
        <v>366</v>
      </c>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3.2">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3.2">
      <c r="A266" s="73" t="s">
        <v>367</v>
      </c>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3.2">
      <c r="A267" s="73" t="s">
        <v>368</v>
      </c>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3.2">
      <c r="A268" s="73" t="s">
        <v>369</v>
      </c>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3.2">
      <c r="A269" s="73" t="s">
        <v>368</v>
      </c>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3.2">
      <c r="A270" s="73" t="s">
        <v>370</v>
      </c>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3.2">
      <c r="A271" s="73" t="s">
        <v>371</v>
      </c>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3.2">
      <c r="A272" s="73" t="s">
        <v>372</v>
      </c>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3.2">
      <c r="A273" s="73" t="s">
        <v>371</v>
      </c>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3.2">
      <c r="A274" s="73" t="s">
        <v>370</v>
      </c>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3.2">
      <c r="A275" s="73" t="s">
        <v>373</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3.2">
      <c r="A276" s="73" t="s">
        <v>374</v>
      </c>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3.2">
      <c r="A277" s="73" t="s">
        <v>373</v>
      </c>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3.2">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3.2">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3.2">
      <c r="A280" s="73" t="s">
        <v>368</v>
      </c>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3.2">
      <c r="A281" s="73" t="s">
        <v>375</v>
      </c>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3.2">
      <c r="A282" s="73" t="s">
        <v>368</v>
      </c>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3.2">
      <c r="A283" s="73" t="s">
        <v>370</v>
      </c>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3.2">
      <c r="A284" s="73" t="s">
        <v>376</v>
      </c>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3.2">
      <c r="A285" s="73" t="s">
        <v>377</v>
      </c>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3.2">
      <c r="A286" s="73" t="s">
        <v>376</v>
      </c>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3.2">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3.2">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3.2">
      <c r="A289" s="73" t="s">
        <v>368</v>
      </c>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3.2">
      <c r="A290" s="73" t="s">
        <v>378</v>
      </c>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3.2">
      <c r="A291" s="73" t="s">
        <v>368</v>
      </c>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3.2">
      <c r="A292" s="73" t="s">
        <v>370</v>
      </c>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3.2">
      <c r="A293" s="73" t="s">
        <v>379</v>
      </c>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3.2">
      <c r="A294" s="73" t="s">
        <v>380</v>
      </c>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3.2">
      <c r="A295" s="73" t="s">
        <v>379</v>
      </c>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3.2">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3.2">
      <c r="A297" s="73" t="s">
        <v>381</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3.2">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3.2">
      <c r="A299" s="73" t="s">
        <v>324</v>
      </c>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3.2">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3.2">
      <c r="A301" s="73" t="s">
        <v>382</v>
      </c>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3.2">
      <c r="A302" s="87" t="s">
        <v>385</v>
      </c>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3.2">
      <c r="A303" s="87" t="s">
        <v>386</v>
      </c>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3.2">
      <c r="A304" s="73" t="s">
        <v>383</v>
      </c>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3.2">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3.2">
      <c r="A306" s="73" t="s">
        <v>384</v>
      </c>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3.2">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3.2">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3.2">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3.2">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3.2">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3.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3.2">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3.2">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3.2">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3.2">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3.2">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3.2">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3.2">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3.2">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3.2">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3.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3.2">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3.2">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3.2">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3.2">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3.2">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3.2">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3.2">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3.2">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3.2">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3.2">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3.2">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3.2">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3.2">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3.2">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3.2">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3.2">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3.2">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3.2">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3.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3.2">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3.2">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3.2">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3.2">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3.2">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3.2">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3.2">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3.2">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3.2">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3.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3.2">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3.2">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3.2">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3.2">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3.2">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3.2">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3.2">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3.2">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3.2">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3.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3.2">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3.2">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3.2">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3.2">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3.2">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3.2">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3.2">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3.2">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3.2">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3.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3.2">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3.2">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3.2">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3.2">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3.2">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3.2">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3.2">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3.2">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3.2">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3.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3.2">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3.2">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3.2">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3.2">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3.2">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3.2">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3.2">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3.2">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3.2">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3.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3.2">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3.2">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3.2">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3.2">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3.2">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3.2">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3.2">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3.2">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3.2">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3.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3.2">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3.2">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3.2">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3.2">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3.2">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3.2">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3.2">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3.2">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3.2">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3.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3.2">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3.2">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3.2">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3.2">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3.2">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3.2">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3.2">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3.2">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3.2">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3.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3.2">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3.2">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3.2">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3.2">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3.2">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3.2">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3.2">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3.2">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3.2">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3.2">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3.2">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3.2">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3.2">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3.2">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3.2">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3.2">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3.2">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3.2">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3.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3.2">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3.2">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3.2">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3.2">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3.2">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3.2">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3.2">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3.2">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3.2">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3.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3.2">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3.2">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3.2">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3.2">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3.2">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3.2">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3.2">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3.2">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3.2">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3.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3.2">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3.2">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3.2">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3.2">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3.2">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3.2">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3.2">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3.2">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3.2">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3.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3.2">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3.2">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3.2">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3.2">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3.2">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3.2">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3.2">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3.2">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3.2">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3.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3.2">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3.2">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3.2">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3.2">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3.2">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3.2">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3.2">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3.2">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3.2">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3.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3.2">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3.2">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3.2">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3.2">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3.2">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3.2">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3.2">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3.2">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3.2">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3.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3.2">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3.2">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3.2">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3.2">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3.2">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3.2">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3.2">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3.2">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3.2">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3.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3.2">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3.2">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3.2">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3.2">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3.2">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3.2">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3.2">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3.2">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3.2">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3.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3.2">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3.2">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3.2">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3.2">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3.2">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3.2">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3.2">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3.2">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3.2">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3.2">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3.2">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3.2">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3.2">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3.2">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3.2">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3.2">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3.2">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3.2">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3.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3.2">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3.2">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3.2">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3.2">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3.2">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3.2">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3.2">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3.2">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3.2">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3.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3.2">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3.2">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3.2">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3.2">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3.2">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3.2">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3.2">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3.2">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3.2">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3.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3.2">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3.2">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3.2">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3.2">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3.2">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3.2">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3.2">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3.2">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3.2">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3.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3.2">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3.2">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3.2">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3.2">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3.2">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3.2">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3.2">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3.2">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3.2">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3.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3.2">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3.2">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3.2">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3.2">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3.2">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3.2">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3.2">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3.2">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3.2">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3.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3.2">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3.2">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3.2">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3.2">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3.2">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3.2">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3.2">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3.2">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3.2">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3.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3.2">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3.2">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3.2">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3.2">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3.2">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3.2">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3.2">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3.2">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3.2">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3.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3.2">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3.2">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3.2">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3.2">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3.2">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3.2">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3.2">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3.2">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3.2">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3.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3.2">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3.2">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3.2">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3.2">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3.2">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3.2">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3.2">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3.2">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3.2">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3.2">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3.2">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3.2">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3.2">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3.2">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3.2">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3.2">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3.2">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3.2">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3.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3.2">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3.2">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3.2">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3.2">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3.2">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3.2">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3.2">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3.2">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3.2">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3.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3.2">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3.2">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3.2">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3.2">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3.2">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3.2">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3.2">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3.2">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3.2">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3.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3.2">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3.2">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3.2">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3.2">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3.2">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3.2">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3.2">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3.2">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3.2">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3.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3.2">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3.2">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3.2">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3.2">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3.2">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3.2">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3.2">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3.2">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3.2">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3.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3.2">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3.2">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3.2">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3.2">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3.2">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3.2">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3.2">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3.2">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3.2">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3.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3.2">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3.2">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3.2">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3.2">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3.2">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3.2">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3.2">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3.2">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3.2">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3.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3.2">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3.2">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3.2">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3.2">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3.2">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3.2">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3.2">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3.2">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3.2">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3.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3.2">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3.2">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3.2">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3.2">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3.2">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3.2">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3.2">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3.2">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3.2">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3.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3.2">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3.2">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3.2">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3.2">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3.2">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3.2">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3.2">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3.2">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3.2">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3.2">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3.2">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3.2">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3.2">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3.2">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3.2">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3.2">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3.2">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3.2">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3.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3.2">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3.2">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3.2">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3.2">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3.2">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3.2">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3.2">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3.2">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3.2">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3.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3.2">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3.2">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3.2">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3.2">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3.2">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3.2">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3.2">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3.2">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3.2">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3.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3.2">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3.2">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3.2">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3.2">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3.2">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3.2">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3.2">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3.2">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3.2">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3.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3.2">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3.2">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3.2">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3.2">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3.2">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3.2">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3.2">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3.2">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3.2">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3.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3.2">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3.2">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3.2">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3.2">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3.2">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3.2">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3.2">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3.2">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3.2">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3.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3.2">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3.2">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3.2">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3.2">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3.2">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3.2">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3.2">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3.2">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3.2">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3.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3.2">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3.2">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3.2">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3.2">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3.2">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3.2">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3.2">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3.2">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3.2">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3.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3.2">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3.2">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3.2">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3.2">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3.2">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3.2">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3.2">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3.2">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3.2">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3.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3.2">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3.2">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3.2">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3.2">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3.2">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3.2">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3.2">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3.2">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3.2">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3.2">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3.2">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3.2">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3.2">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3.2">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3.2">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3.2">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3.2">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3.2">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3.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3.2">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3.2">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3.2">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3.2">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3.2">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3.2">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3.2">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3.2">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3.2">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3.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3.2">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3.2">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3.2">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3.2">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3.2">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3.2">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3.2">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3.2">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3.2">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3.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3.2">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3.2">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3.2">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3.2">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3.2">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3.2">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3.2">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3.2">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3.2">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3.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3.2">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3.2">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3.2">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3.2">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3.2">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3.2">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3.2">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3.2">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3.2">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3.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3.2">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3.2">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3.2">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3.2">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3.2">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3.2">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3.2">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3.2">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3.2">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3.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3.2">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3.2">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3.2">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3.2">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3.2">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3.2">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3.2">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3.2">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3.2">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3.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3.2">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3.2">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3.2">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3.2">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3.2">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3.2">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3.2">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3.2">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3.2">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3.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3.2">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3.2">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3.2">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3.2">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3.2">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3.2">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3.2">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3.2">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3.2">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3.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3.2">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3.2">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3.2">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3.2">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3.2">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3.2">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3.2">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3.2">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3.2">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3.2">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3.2">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3.2">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3.2">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3.2">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3.2">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3.2">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3.2">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3.2">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3.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3.2">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3.2">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3.2">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3.2">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3.2">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3.2">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3.2">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3.2">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3.2">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3.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3.2">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3.2">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3.2">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3.2">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3.2">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3.2">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3.2">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3.2">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3.2">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3.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3.2">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3.2">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3.2">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3.2">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3.2">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3.2">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3.2">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3.2">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3.2">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3.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3.2">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3.2">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3.2">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3.2">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3.2">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3.2">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3.2">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3.2">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3.2">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3.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3.2">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3.2">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3.2">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3.2">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3.2">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3.2">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3.2">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3.2">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3.2">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3.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3.2">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3.2">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3.2">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3.2">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3.2">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3.2">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3.2">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3.2">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1">
    <mergeCell ref="A1:D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2"/>
  <sheetViews>
    <sheetView topLeftCell="A130" zoomScale="70" zoomScaleNormal="70" workbookViewId="0">
      <selection activeCell="A233" sqref="A233:A240"/>
    </sheetView>
  </sheetViews>
  <sheetFormatPr defaultRowHeight="13.2"/>
  <cols>
    <col min="1" max="1" width="126.21875" customWidth="1"/>
  </cols>
  <sheetData>
    <row r="1" spans="1:1">
      <c r="A1" t="s">
        <v>387</v>
      </c>
    </row>
    <row r="3" spans="1:1">
      <c r="A3" t="s">
        <v>324</v>
      </c>
    </row>
    <row r="5" spans="1:1">
      <c r="A5" t="s">
        <v>388</v>
      </c>
    </row>
    <row r="7" spans="1:1">
      <c r="A7" t="s">
        <v>389</v>
      </c>
    </row>
    <row r="8" spans="1:1">
      <c r="A8" t="s">
        <v>390</v>
      </c>
    </row>
    <row r="9" spans="1:1">
      <c r="A9" t="s">
        <v>391</v>
      </c>
    </row>
    <row r="10" spans="1:1">
      <c r="A10" t="s">
        <v>392</v>
      </c>
    </row>
    <row r="11" spans="1:1">
      <c r="A11" t="s">
        <v>393</v>
      </c>
    </row>
    <row r="12" spans="1:1">
      <c r="A12" t="s">
        <v>394</v>
      </c>
    </row>
    <row r="14" spans="1:1">
      <c r="A14" t="s">
        <v>395</v>
      </c>
    </row>
    <row r="15" spans="1:1">
      <c r="A15" t="s">
        <v>396</v>
      </c>
    </row>
    <row r="16" spans="1:1">
      <c r="A16" t="s">
        <v>397</v>
      </c>
    </row>
    <row r="17" spans="1:1">
      <c r="A17" t="s">
        <v>398</v>
      </c>
    </row>
    <row r="18" spans="1:1">
      <c r="A18" t="s">
        <v>399</v>
      </c>
    </row>
    <row r="20" spans="1:1">
      <c r="A20" t="s">
        <v>400</v>
      </c>
    </row>
    <row r="21" spans="1:1">
      <c r="A21" t="s">
        <v>401</v>
      </c>
    </row>
    <row r="22" spans="1:1">
      <c r="A22" t="s">
        <v>402</v>
      </c>
    </row>
    <row r="23" spans="1:1">
      <c r="A23" t="s">
        <v>403</v>
      </c>
    </row>
    <row r="24" spans="1:1">
      <c r="A24" t="s">
        <v>404</v>
      </c>
    </row>
    <row r="25" spans="1:1">
      <c r="A25" t="s">
        <v>405</v>
      </c>
    </row>
    <row r="27" spans="1:1">
      <c r="A27" t="s">
        <v>406</v>
      </c>
    </row>
    <row r="28" spans="1:1">
      <c r="A28" t="s">
        <v>407</v>
      </c>
    </row>
    <row r="29" spans="1:1">
      <c r="A29" t="s">
        <v>408</v>
      </c>
    </row>
    <row r="30" spans="1:1">
      <c r="A30" t="s">
        <v>409</v>
      </c>
    </row>
    <row r="31" spans="1:1">
      <c r="A31" t="s">
        <v>410</v>
      </c>
    </row>
    <row r="32" spans="1:1">
      <c r="A32" t="s">
        <v>411</v>
      </c>
    </row>
    <row r="34" spans="1:1">
      <c r="A34" t="s">
        <v>324</v>
      </c>
    </row>
    <row r="36" spans="1:1">
      <c r="A36" t="s">
        <v>412</v>
      </c>
    </row>
    <row r="38" spans="1:1">
      <c r="A38" t="s">
        <v>413</v>
      </c>
    </row>
    <row r="39" spans="1:1">
      <c r="A39" t="s">
        <v>414</v>
      </c>
    </row>
    <row r="40" spans="1:1">
      <c r="A40" t="s">
        <v>415</v>
      </c>
    </row>
    <row r="41" spans="1:1">
      <c r="A41" t="s">
        <v>416</v>
      </c>
    </row>
    <row r="42" spans="1:1">
      <c r="A42" t="s">
        <v>417</v>
      </c>
    </row>
    <row r="44" spans="1:1">
      <c r="A44" t="s">
        <v>418</v>
      </c>
    </row>
    <row r="45" spans="1:1">
      <c r="A45" t="s">
        <v>419</v>
      </c>
    </row>
    <row r="46" spans="1:1">
      <c r="A46" t="s">
        <v>420</v>
      </c>
    </row>
    <row r="47" spans="1:1">
      <c r="A47" t="s">
        <v>421</v>
      </c>
    </row>
    <row r="48" spans="1:1">
      <c r="A48" t="s">
        <v>422</v>
      </c>
    </row>
    <row r="50" spans="1:1">
      <c r="A50" t="s">
        <v>423</v>
      </c>
    </row>
    <row r="51" spans="1:1">
      <c r="A51" t="s">
        <v>424</v>
      </c>
    </row>
    <row r="52" spans="1:1">
      <c r="A52" t="s">
        <v>425</v>
      </c>
    </row>
    <row r="53" spans="1:1">
      <c r="A53" t="s">
        <v>426</v>
      </c>
    </row>
    <row r="54" spans="1:1">
      <c r="A54" t="s">
        <v>427</v>
      </c>
    </row>
    <row r="56" spans="1:1">
      <c r="A56" t="s">
        <v>428</v>
      </c>
    </row>
    <row r="57" spans="1:1">
      <c r="A57" t="s">
        <v>429</v>
      </c>
    </row>
    <row r="58" spans="1:1">
      <c r="A58" t="s">
        <v>430</v>
      </c>
    </row>
    <row r="59" spans="1:1">
      <c r="A59" t="s">
        <v>431</v>
      </c>
    </row>
    <row r="60" spans="1:1">
      <c r="A60" t="s">
        <v>432</v>
      </c>
    </row>
    <row r="62" spans="1:1">
      <c r="A62" t="s">
        <v>433</v>
      </c>
    </row>
    <row r="63" spans="1:1">
      <c r="A63" t="s">
        <v>434</v>
      </c>
    </row>
    <row r="64" spans="1:1">
      <c r="A64" t="s">
        <v>435</v>
      </c>
    </row>
    <row r="65" spans="1:1">
      <c r="A65" t="s">
        <v>436</v>
      </c>
    </row>
    <row r="66" spans="1:1">
      <c r="A66" t="s">
        <v>437</v>
      </c>
    </row>
    <row r="68" spans="1:1">
      <c r="A68" t="s">
        <v>438</v>
      </c>
    </row>
    <row r="69" spans="1:1">
      <c r="A69" t="s">
        <v>439</v>
      </c>
    </row>
    <row r="70" spans="1:1">
      <c r="A70" t="s">
        <v>440</v>
      </c>
    </row>
    <row r="71" spans="1:1">
      <c r="A71" t="s">
        <v>441</v>
      </c>
    </row>
    <row r="72" spans="1:1">
      <c r="A72" t="s">
        <v>442</v>
      </c>
    </row>
    <row r="74" spans="1:1">
      <c r="A74" t="s">
        <v>324</v>
      </c>
    </row>
    <row r="76" spans="1:1">
      <c r="A76" t="s">
        <v>443</v>
      </c>
    </row>
    <row r="78" spans="1:1">
      <c r="A78" t="s">
        <v>444</v>
      </c>
    </row>
    <row r="79" spans="1:1">
      <c r="A79" t="s">
        <v>445</v>
      </c>
    </row>
    <row r="80" spans="1:1">
      <c r="A80" t="s">
        <v>446</v>
      </c>
    </row>
    <row r="81" spans="1:1">
      <c r="A81" t="s">
        <v>447</v>
      </c>
    </row>
    <row r="82" spans="1:1">
      <c r="A82" t="s">
        <v>448</v>
      </c>
    </row>
    <row r="84" spans="1:1">
      <c r="A84" t="s">
        <v>449</v>
      </c>
    </row>
    <row r="85" spans="1:1">
      <c r="A85" t="s">
        <v>450</v>
      </c>
    </row>
    <row r="86" spans="1:1">
      <c r="A86" t="s">
        <v>451</v>
      </c>
    </row>
    <row r="87" spans="1:1">
      <c r="A87" t="s">
        <v>452</v>
      </c>
    </row>
    <row r="88" spans="1:1">
      <c r="A88" t="s">
        <v>453</v>
      </c>
    </row>
    <row r="90" spans="1:1">
      <c r="A90" t="s">
        <v>454</v>
      </c>
    </row>
    <row r="91" spans="1:1">
      <c r="A91" t="s">
        <v>455</v>
      </c>
    </row>
    <row r="92" spans="1:1">
      <c r="A92" t="s">
        <v>456</v>
      </c>
    </row>
    <row r="93" spans="1:1">
      <c r="A93" t="s">
        <v>457</v>
      </c>
    </row>
    <row r="94" spans="1:1">
      <c r="A94" t="s">
        <v>458</v>
      </c>
    </row>
    <row r="96" spans="1:1">
      <c r="A96" t="s">
        <v>459</v>
      </c>
    </row>
    <row r="97" spans="1:35">
      <c r="A97" t="s">
        <v>460</v>
      </c>
    </row>
    <row r="98" spans="1:35">
      <c r="A98" t="s">
        <v>461</v>
      </c>
    </row>
    <row r="99" spans="1:35">
      <c r="A99" t="s">
        <v>462</v>
      </c>
    </row>
    <row r="100" spans="1:35">
      <c r="A100" t="s">
        <v>463</v>
      </c>
    </row>
    <row r="102" spans="1:35">
      <c r="A102" t="s">
        <v>324</v>
      </c>
    </row>
    <row r="104" spans="1:35">
      <c r="A104" t="s">
        <v>464</v>
      </c>
    </row>
    <row r="106" spans="1:35">
      <c r="A106" t="e">
        <f>- Hãy theo dõi checklist này hàng ngày và đánh dấu các mục đã hoàn thành.</f>
        <v>#NAME?</v>
      </c>
    </row>
    <row r="107" spans="1:35">
      <c r="A107" t="e">
        <f>- Nếu gặp khó khăn ở bất kỳ giai đoạn nào, Hãy dành thêm thời gian để ôn lại hoặc hỏi ý kiến chuyên gia.</f>
        <v>#NAME?</v>
      </c>
    </row>
    <row r="108" spans="1:35">
      <c r="A108" t="e">
        <f>- Đừng quên kết hợp lý thuyết với thực hành để đạt hiệu quả cao nhất.</f>
        <v>#NAME?</v>
      </c>
    </row>
    <row r="110" spans="1:35">
      <c r="A110" t="s">
        <v>465</v>
      </c>
    </row>
    <row r="112" spans="1:3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row>
    <row r="114" spans="1:4">
      <c r="B114" s="65" t="s">
        <v>466</v>
      </c>
    </row>
    <row r="118" spans="1:4" ht="22.8">
      <c r="A118" s="68" t="s">
        <v>467</v>
      </c>
    </row>
    <row r="120" spans="1:4">
      <c r="A120" s="69" t="s">
        <v>469</v>
      </c>
      <c r="B120" s="69" t="s">
        <v>468</v>
      </c>
      <c r="D120" s="69" t="s">
        <v>470</v>
      </c>
    </row>
    <row r="121" spans="1:4">
      <c r="A121" s="71" t="s">
        <v>472</v>
      </c>
      <c r="B121" s="71" t="s">
        <v>471</v>
      </c>
      <c r="D121" s="70"/>
    </row>
    <row r="122" spans="1:4">
      <c r="A122" s="71" t="s">
        <v>473</v>
      </c>
      <c r="B122" s="71" t="s">
        <v>471</v>
      </c>
      <c r="D122" s="70"/>
    </row>
    <row r="123" spans="1:4">
      <c r="A123" s="71" t="s">
        <v>474</v>
      </c>
      <c r="B123" s="71" t="s">
        <v>471</v>
      </c>
      <c r="D123" s="70"/>
    </row>
    <row r="124" spans="1:4">
      <c r="A124" s="71" t="s">
        <v>475</v>
      </c>
      <c r="B124" s="71" t="s">
        <v>471</v>
      </c>
      <c r="D124" s="70"/>
    </row>
    <row r="125" spans="1:4">
      <c r="A125" s="71" t="s">
        <v>476</v>
      </c>
      <c r="B125" s="71" t="s">
        <v>471</v>
      </c>
      <c r="D125" s="70"/>
    </row>
    <row r="126" spans="1:4">
      <c r="A126" s="71" t="s">
        <v>477</v>
      </c>
      <c r="B126" s="71" t="s">
        <v>471</v>
      </c>
      <c r="D126" s="70"/>
    </row>
    <row r="127" spans="1:4">
      <c r="A127" s="71" t="s">
        <v>478</v>
      </c>
      <c r="B127" s="71" t="s">
        <v>471</v>
      </c>
      <c r="D127" s="70"/>
    </row>
    <row r="128" spans="1:4">
      <c r="A128" s="71" t="s">
        <v>479</v>
      </c>
      <c r="B128" s="71" t="s">
        <v>471</v>
      </c>
      <c r="D128" s="70"/>
    </row>
    <row r="129" spans="1:4">
      <c r="A129" s="71" t="s">
        <v>480</v>
      </c>
      <c r="B129" s="71" t="s">
        <v>471</v>
      </c>
      <c r="D129" s="70"/>
    </row>
    <row r="131" spans="1:4">
      <c r="A131" s="65" t="s">
        <v>481</v>
      </c>
    </row>
    <row r="132" spans="1:4">
      <c r="A132" s="66"/>
    </row>
    <row r="133" spans="1:4">
      <c r="A133" s="67" t="s">
        <v>482</v>
      </c>
    </row>
    <row r="134" spans="1:4">
      <c r="A134" s="66"/>
    </row>
    <row r="135" spans="1:4">
      <c r="A135" s="67" t="s">
        <v>483</v>
      </c>
    </row>
    <row r="136" spans="1:4">
      <c r="A136" s="66"/>
    </row>
    <row r="137" spans="1:4">
      <c r="A137" s="67" t="s">
        <v>484</v>
      </c>
    </row>
    <row r="141" spans="1:4" ht="22.8">
      <c r="A141" s="68" t="s">
        <v>485</v>
      </c>
    </row>
    <row r="143" spans="1:4" ht="13.8" customHeight="1">
      <c r="A143" s="69" t="s">
        <v>469</v>
      </c>
      <c r="B143" s="69" t="s">
        <v>468</v>
      </c>
      <c r="D143" s="69" t="s">
        <v>470</v>
      </c>
    </row>
    <row r="144" spans="1:4">
      <c r="A144" s="71" t="s">
        <v>486</v>
      </c>
      <c r="B144" s="71" t="s">
        <v>471</v>
      </c>
      <c r="D144" s="70" t="s">
        <v>576</v>
      </c>
    </row>
    <row r="145" spans="1:4">
      <c r="A145" s="71" t="s">
        <v>487</v>
      </c>
      <c r="B145" s="71" t="s">
        <v>471</v>
      </c>
      <c r="D145" s="70" t="s">
        <v>576</v>
      </c>
    </row>
    <row r="146" spans="1:4">
      <c r="A146" s="71" t="s">
        <v>488</v>
      </c>
      <c r="B146" s="71" t="s">
        <v>471</v>
      </c>
      <c r="D146" s="70" t="s">
        <v>576</v>
      </c>
    </row>
    <row r="147" spans="1:4">
      <c r="A147" s="71" t="s">
        <v>489</v>
      </c>
      <c r="B147" s="71" t="s">
        <v>471</v>
      </c>
      <c r="D147" s="70" t="s">
        <v>576</v>
      </c>
    </row>
    <row r="148" spans="1:4">
      <c r="A148" s="71" t="s">
        <v>490</v>
      </c>
      <c r="B148" s="71" t="s">
        <v>471</v>
      </c>
      <c r="D148" s="70"/>
    </row>
    <row r="149" spans="1:4">
      <c r="A149" s="71" t="s">
        <v>491</v>
      </c>
      <c r="B149" s="71" t="s">
        <v>471</v>
      </c>
      <c r="D149" s="70"/>
    </row>
    <row r="150" spans="1:4">
      <c r="A150" s="71" t="s">
        <v>492</v>
      </c>
      <c r="B150" s="71" t="s">
        <v>471</v>
      </c>
      <c r="D150" s="70" t="s">
        <v>576</v>
      </c>
    </row>
    <row r="151" spans="1:4">
      <c r="A151" s="71" t="s">
        <v>493</v>
      </c>
      <c r="B151" s="71" t="s">
        <v>471</v>
      </c>
      <c r="D151" s="95" t="s">
        <v>576</v>
      </c>
    </row>
    <row r="152" spans="1:4">
      <c r="A152" s="71" t="s">
        <v>494</v>
      </c>
      <c r="B152" s="71" t="s">
        <v>471</v>
      </c>
      <c r="D152" s="95" t="s">
        <v>576</v>
      </c>
    </row>
    <row r="153" spans="1:4">
      <c r="A153" s="71" t="s">
        <v>495</v>
      </c>
      <c r="B153" s="71" t="s">
        <v>471</v>
      </c>
      <c r="D153" s="95" t="s">
        <v>576</v>
      </c>
    </row>
    <row r="154" spans="1:4">
      <c r="A154" s="71" t="s">
        <v>496</v>
      </c>
      <c r="B154" s="71" t="s">
        <v>471</v>
      </c>
      <c r="D154" s="70"/>
    </row>
    <row r="155" spans="1:4">
      <c r="A155" s="71" t="s">
        <v>497</v>
      </c>
      <c r="B155" s="71" t="s">
        <v>471</v>
      </c>
      <c r="D155" s="70"/>
    </row>
    <row r="156" spans="1:4">
      <c r="A156" s="71" t="s">
        <v>498</v>
      </c>
      <c r="B156" s="71" t="s">
        <v>471</v>
      </c>
      <c r="D156" s="70"/>
    </row>
    <row r="158" spans="1:4">
      <c r="A158" s="65" t="s">
        <v>481</v>
      </c>
    </row>
    <row r="159" spans="1:4">
      <c r="A159" s="66"/>
    </row>
    <row r="160" spans="1:4">
      <c r="A160" s="67" t="s">
        <v>499</v>
      </c>
    </row>
    <row r="161" spans="1:4">
      <c r="A161" s="66"/>
    </row>
    <row r="162" spans="1:4">
      <c r="A162" s="67" t="s">
        <v>500</v>
      </c>
    </row>
    <row r="163" spans="1:4">
      <c r="A163" s="66"/>
    </row>
    <row r="164" spans="1:4">
      <c r="A164" s="67" t="s">
        <v>501</v>
      </c>
    </row>
    <row r="168" spans="1:4" ht="22.8">
      <c r="A168" s="68" t="s">
        <v>502</v>
      </c>
    </row>
    <row r="170" spans="1:4">
      <c r="A170" s="69" t="s">
        <v>469</v>
      </c>
      <c r="B170" s="69" t="s">
        <v>468</v>
      </c>
      <c r="D170" s="69" t="s">
        <v>470</v>
      </c>
    </row>
    <row r="171" spans="1:4">
      <c r="A171" s="71" t="s">
        <v>503</v>
      </c>
      <c r="B171" s="71" t="s">
        <v>471</v>
      </c>
      <c r="D171" s="70"/>
    </row>
    <row r="172" spans="1:4">
      <c r="A172" s="71" t="s">
        <v>504</v>
      </c>
      <c r="B172" s="71" t="s">
        <v>471</v>
      </c>
      <c r="D172" s="70"/>
    </row>
    <row r="173" spans="1:4">
      <c r="A173" s="71" t="s">
        <v>505</v>
      </c>
      <c r="B173" s="71" t="s">
        <v>471</v>
      </c>
      <c r="D173" s="70"/>
    </row>
    <row r="174" spans="1:4">
      <c r="A174" s="71" t="s">
        <v>506</v>
      </c>
      <c r="B174" s="71" t="s">
        <v>471</v>
      </c>
      <c r="D174" s="70"/>
    </row>
    <row r="175" spans="1:4">
      <c r="A175" s="71" t="s">
        <v>507</v>
      </c>
      <c r="B175" s="71" t="s">
        <v>471</v>
      </c>
      <c r="D175" s="70"/>
    </row>
    <row r="176" spans="1:4">
      <c r="A176" s="71" t="s">
        <v>508</v>
      </c>
      <c r="B176" s="71" t="s">
        <v>471</v>
      </c>
      <c r="D176" s="70"/>
    </row>
    <row r="177" spans="1:4">
      <c r="A177" s="71" t="s">
        <v>509</v>
      </c>
      <c r="B177" s="71" t="s">
        <v>471</v>
      </c>
      <c r="D177" s="70"/>
    </row>
    <row r="178" spans="1:4">
      <c r="A178" s="71" t="s">
        <v>510</v>
      </c>
      <c r="B178" s="71" t="s">
        <v>471</v>
      </c>
      <c r="D178" s="70"/>
    </row>
    <row r="179" spans="1:4">
      <c r="A179" s="71" t="s">
        <v>511</v>
      </c>
      <c r="B179" s="71" t="s">
        <v>471</v>
      </c>
      <c r="D179" s="70"/>
    </row>
    <row r="181" spans="1:4">
      <c r="A181" s="65" t="s">
        <v>481</v>
      </c>
    </row>
    <row r="182" spans="1:4">
      <c r="A182" s="66"/>
    </row>
    <row r="183" spans="1:4">
      <c r="A183" s="67" t="s">
        <v>512</v>
      </c>
    </row>
    <row r="184" spans="1:4">
      <c r="A184" s="66"/>
    </row>
    <row r="185" spans="1:4">
      <c r="A185" s="67" t="s">
        <v>513</v>
      </c>
    </row>
    <row r="186" spans="1:4">
      <c r="A186" s="66"/>
    </row>
    <row r="187" spans="1:4">
      <c r="A187" s="67" t="s">
        <v>514</v>
      </c>
    </row>
    <row r="191" spans="1:4" ht="22.8">
      <c r="A191" s="68" t="s">
        <v>515</v>
      </c>
    </row>
    <row r="193" spans="1:4">
      <c r="A193" s="69" t="s">
        <v>469</v>
      </c>
      <c r="B193" s="69" t="s">
        <v>468</v>
      </c>
      <c r="D193" s="69" t="s">
        <v>470</v>
      </c>
    </row>
    <row r="194" spans="1:4">
      <c r="A194" s="71" t="s">
        <v>516</v>
      </c>
      <c r="B194" s="71" t="s">
        <v>471</v>
      </c>
      <c r="D194" s="70"/>
    </row>
    <row r="195" spans="1:4">
      <c r="A195" s="71" t="s">
        <v>517</v>
      </c>
      <c r="B195" s="71" t="s">
        <v>471</v>
      </c>
      <c r="D195" s="70"/>
    </row>
    <row r="196" spans="1:4">
      <c r="A196" s="71" t="s">
        <v>518</v>
      </c>
      <c r="B196" s="71" t="s">
        <v>471</v>
      </c>
      <c r="D196" s="70"/>
    </row>
    <row r="197" spans="1:4">
      <c r="A197" s="71" t="s">
        <v>519</v>
      </c>
      <c r="B197" s="71" t="s">
        <v>471</v>
      </c>
      <c r="D197" s="70"/>
    </row>
    <row r="198" spans="1:4">
      <c r="A198" s="71" t="s">
        <v>520</v>
      </c>
      <c r="B198" s="71" t="s">
        <v>471</v>
      </c>
      <c r="D198" s="70"/>
    </row>
    <row r="199" spans="1:4">
      <c r="A199" s="71" t="s">
        <v>521</v>
      </c>
      <c r="B199" s="71" t="s">
        <v>471</v>
      </c>
      <c r="D199" s="70"/>
    </row>
    <row r="200" spans="1:4">
      <c r="A200" s="71" t="s">
        <v>522</v>
      </c>
      <c r="B200" s="71" t="s">
        <v>471</v>
      </c>
      <c r="D200" s="70"/>
    </row>
    <row r="201" spans="1:4">
      <c r="A201" s="71" t="s">
        <v>523</v>
      </c>
      <c r="B201" s="71" t="s">
        <v>471</v>
      </c>
      <c r="D201" s="70"/>
    </row>
    <row r="202" spans="1:4">
      <c r="A202" s="71" t="s">
        <v>524</v>
      </c>
      <c r="B202" s="71" t="s">
        <v>471</v>
      </c>
      <c r="D202" s="70"/>
    </row>
    <row r="203" spans="1:4">
      <c r="A203" s="71" t="s">
        <v>525</v>
      </c>
      <c r="B203" s="71" t="s">
        <v>471</v>
      </c>
      <c r="D203" s="70"/>
    </row>
    <row r="204" spans="1:4">
      <c r="A204" s="71" t="s">
        <v>526</v>
      </c>
      <c r="B204" s="71" t="s">
        <v>471</v>
      </c>
      <c r="D204" s="70"/>
    </row>
    <row r="206" spans="1:4">
      <c r="A206" s="65" t="s">
        <v>481</v>
      </c>
    </row>
    <row r="207" spans="1:4">
      <c r="A207" s="66"/>
    </row>
    <row r="208" spans="1:4">
      <c r="A208" s="67" t="s">
        <v>527</v>
      </c>
    </row>
    <row r="209" spans="1:4">
      <c r="A209" s="66"/>
    </row>
    <row r="210" spans="1:4">
      <c r="A210" s="67" t="s">
        <v>528</v>
      </c>
    </row>
    <row r="211" spans="1:4">
      <c r="A211" s="66"/>
    </row>
    <row r="212" spans="1:4">
      <c r="A212" s="67" t="s">
        <v>529</v>
      </c>
    </row>
    <row r="213" spans="1:4">
      <c r="A213" s="66"/>
    </row>
    <row r="214" spans="1:4">
      <c r="A214" s="67" t="s">
        <v>530</v>
      </c>
    </row>
    <row r="215" spans="1:4">
      <c r="A215" s="66"/>
    </row>
    <row r="216" spans="1:4">
      <c r="A216" s="67" t="s">
        <v>531</v>
      </c>
    </row>
    <row r="220" spans="1:4" ht="22.8">
      <c r="A220" s="68" t="s">
        <v>532</v>
      </c>
    </row>
    <row r="222" spans="1:4">
      <c r="A222" s="69" t="s">
        <v>469</v>
      </c>
      <c r="B222" s="69" t="s">
        <v>468</v>
      </c>
      <c r="D222" s="69" t="s">
        <v>470</v>
      </c>
    </row>
    <row r="223" spans="1:4">
      <c r="A223" s="71" t="s">
        <v>533</v>
      </c>
      <c r="B223" s="71" t="s">
        <v>471</v>
      </c>
      <c r="D223" s="70"/>
    </row>
    <row r="224" spans="1:4">
      <c r="A224" s="71" t="s">
        <v>534</v>
      </c>
      <c r="B224" s="71" t="s">
        <v>471</v>
      </c>
      <c r="D224" s="70"/>
    </row>
    <row r="225" spans="1:4">
      <c r="A225" s="71" t="s">
        <v>535</v>
      </c>
      <c r="B225" s="71" t="s">
        <v>471</v>
      </c>
      <c r="D225" s="70"/>
    </row>
    <row r="226" spans="1:4">
      <c r="A226" s="71" t="s">
        <v>536</v>
      </c>
      <c r="B226" s="71" t="s">
        <v>471</v>
      </c>
      <c r="D226" s="70"/>
    </row>
    <row r="227" spans="1:4">
      <c r="A227" s="71" t="s">
        <v>537</v>
      </c>
      <c r="B227" s="71" t="s">
        <v>471</v>
      </c>
      <c r="D227" s="70"/>
    </row>
    <row r="228" spans="1:4">
      <c r="A228" s="71" t="s">
        <v>538</v>
      </c>
      <c r="B228" s="71" t="s">
        <v>471</v>
      </c>
      <c r="D228" s="70"/>
    </row>
    <row r="229" spans="1:4">
      <c r="A229" s="71" t="s">
        <v>539</v>
      </c>
      <c r="B229" s="71" t="s">
        <v>471</v>
      </c>
      <c r="D229" s="70"/>
    </row>
    <row r="230" spans="1:4">
      <c r="A230" s="71" t="s">
        <v>540</v>
      </c>
      <c r="B230" s="71" t="s">
        <v>471</v>
      </c>
      <c r="D230" s="70"/>
    </row>
    <row r="231" spans="1:4">
      <c r="A231" s="71" t="s">
        <v>541</v>
      </c>
      <c r="B231" s="71" t="s">
        <v>471</v>
      </c>
      <c r="D231" s="70"/>
    </row>
    <row r="233" spans="1:4">
      <c r="A233" s="65" t="s">
        <v>542</v>
      </c>
    </row>
    <row r="234" spans="1:4">
      <c r="A234" s="66"/>
    </row>
    <row r="235" spans="1:4">
      <c r="A235" s="67" t="s">
        <v>543</v>
      </c>
    </row>
    <row r="236" spans="1:4">
      <c r="A236" s="66"/>
    </row>
    <row r="237" spans="1:4">
      <c r="A237" s="67" t="s">
        <v>544</v>
      </c>
    </row>
    <row r="238" spans="1:4">
      <c r="A238" s="66"/>
    </row>
    <row r="239" spans="1:4">
      <c r="A239" s="67" t="s">
        <v>545</v>
      </c>
    </row>
    <row r="243" spans="1:6" ht="22.8">
      <c r="A243" s="68" t="s">
        <v>546</v>
      </c>
    </row>
    <row r="245" spans="1:6" ht="26.4">
      <c r="A245" s="69" t="s">
        <v>250</v>
      </c>
      <c r="B245" s="69" t="s">
        <v>547</v>
      </c>
    </row>
    <row r="246" spans="1:6" ht="52.8" customHeight="1">
      <c r="A246" s="71" t="s">
        <v>549</v>
      </c>
      <c r="B246" s="106" t="s">
        <v>548</v>
      </c>
      <c r="C246" s="106"/>
      <c r="D246" s="106"/>
      <c r="E246" s="106"/>
      <c r="F246" s="106"/>
    </row>
    <row r="247" spans="1:6">
      <c r="A247" s="71" t="s">
        <v>551</v>
      </c>
      <c r="B247" s="106" t="s">
        <v>550</v>
      </c>
      <c r="C247" s="106"/>
      <c r="D247" s="106"/>
      <c r="E247" s="106"/>
      <c r="F247" s="106"/>
    </row>
    <row r="248" spans="1:6">
      <c r="A248" s="71" t="s">
        <v>553</v>
      </c>
      <c r="B248" s="106" t="s">
        <v>552</v>
      </c>
      <c r="C248" s="106"/>
      <c r="D248" s="106"/>
      <c r="E248" s="106"/>
      <c r="F248" s="106"/>
    </row>
    <row r="249" spans="1:6">
      <c r="A249" s="71" t="s">
        <v>555</v>
      </c>
      <c r="B249" s="106" t="s">
        <v>554</v>
      </c>
      <c r="C249" s="106"/>
      <c r="D249" s="106"/>
      <c r="E249" s="106"/>
      <c r="F249" s="106"/>
    </row>
    <row r="252" spans="1:6">
      <c r="B252" s="65" t="s">
        <v>556</v>
      </c>
    </row>
  </sheetData>
  <mergeCells count="4">
    <mergeCell ref="B246:F246"/>
    <mergeCell ref="B247:F247"/>
    <mergeCell ref="B248:F248"/>
    <mergeCell ref="B249:F2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P731"/>
  <sheetViews>
    <sheetView tabSelected="1" topLeftCell="A633" workbookViewId="0">
      <selection activeCell="F633" sqref="F633:G633"/>
    </sheetView>
  </sheetViews>
  <sheetFormatPr defaultRowHeight="13.2"/>
  <cols>
    <col min="2" max="2" width="12.109375" customWidth="1"/>
    <col min="7" max="7" width="52.44140625" customWidth="1"/>
  </cols>
  <sheetData>
    <row r="4" spans="3:3">
      <c r="C4" t="s">
        <v>577</v>
      </c>
    </row>
    <row r="6" spans="3:3">
      <c r="C6" t="s">
        <v>324</v>
      </c>
    </row>
    <row r="8" spans="3:3">
      <c r="C8" t="s">
        <v>578</v>
      </c>
    </row>
    <row r="10" spans="3:3">
      <c r="C10" t="s">
        <v>579</v>
      </c>
    </row>
    <row r="11" spans="3:3">
      <c r="C11" t="s">
        <v>580</v>
      </c>
    </row>
    <row r="12" spans="3:3">
      <c r="C12" t="s">
        <v>581</v>
      </c>
    </row>
    <row r="13" spans="3:3">
      <c r="C13" t="s">
        <v>582</v>
      </c>
    </row>
    <row r="14" spans="3:3">
      <c r="C14" t="s">
        <v>583</v>
      </c>
    </row>
    <row r="15" spans="3:3">
      <c r="C15" t="s">
        <v>584</v>
      </c>
    </row>
    <row r="16" spans="3:3">
      <c r="C16" t="s">
        <v>585</v>
      </c>
    </row>
    <row r="17" spans="3:3">
      <c r="C17" t="s">
        <v>586</v>
      </c>
    </row>
    <row r="19" spans="3:3">
      <c r="C19" t="s">
        <v>324</v>
      </c>
    </row>
    <row r="21" spans="3:3">
      <c r="C21" t="s">
        <v>587</v>
      </c>
    </row>
    <row r="22" spans="3:3">
      <c r="C22" t="s">
        <v>581</v>
      </c>
    </row>
    <row r="23" spans="3:3">
      <c r="C23" t="s">
        <v>582</v>
      </c>
    </row>
    <row r="24" spans="3:3">
      <c r="C24" t="s">
        <v>588</v>
      </c>
    </row>
    <row r="25" spans="3:3">
      <c r="C25" t="s">
        <v>589</v>
      </c>
    </row>
    <row r="26" spans="3:3">
      <c r="C26" t="s">
        <v>590</v>
      </c>
    </row>
    <row r="27" spans="3:3">
      <c r="C27" t="s">
        <v>591</v>
      </c>
    </row>
    <row r="28" spans="3:3">
      <c r="C28" t="s">
        <v>592</v>
      </c>
    </row>
    <row r="30" spans="3:3">
      <c r="C30" t="s">
        <v>324</v>
      </c>
    </row>
    <row r="32" spans="3:3">
      <c r="C32" t="s">
        <v>593</v>
      </c>
    </row>
    <row r="33" spans="3:3">
      <c r="C33" t="s">
        <v>594</v>
      </c>
    </row>
    <row r="34" spans="3:3">
      <c r="C34" t="s">
        <v>595</v>
      </c>
    </row>
    <row r="35" spans="3:3">
      <c r="C35" t="s">
        <v>596</v>
      </c>
    </row>
    <row r="36" spans="3:3">
      <c r="C36" t="s">
        <v>597</v>
      </c>
    </row>
    <row r="37" spans="3:3">
      <c r="C37" t="s">
        <v>598</v>
      </c>
    </row>
    <row r="39" spans="3:3">
      <c r="C39" t="s">
        <v>324</v>
      </c>
    </row>
    <row r="41" spans="3:3">
      <c r="C41" t="s">
        <v>599</v>
      </c>
    </row>
    <row r="42" spans="3:3">
      <c r="C42" t="s">
        <v>594</v>
      </c>
    </row>
    <row r="43" spans="3:3">
      <c r="C43" t="s">
        <v>595</v>
      </c>
    </row>
    <row r="44" spans="3:3">
      <c r="C44" t="s">
        <v>600</v>
      </c>
    </row>
    <row r="45" spans="3:3">
      <c r="C45" t="s">
        <v>601</v>
      </c>
    </row>
    <row r="47" spans="3:3">
      <c r="C47" t="s">
        <v>324</v>
      </c>
    </row>
    <row r="49" spans="3:3">
      <c r="C49" t="s">
        <v>602</v>
      </c>
    </row>
    <row r="50" spans="3:3">
      <c r="C50" t="s">
        <v>594</v>
      </c>
    </row>
    <row r="51" spans="3:3">
      <c r="C51" t="s">
        <v>595</v>
      </c>
    </row>
    <row r="52" spans="3:3">
      <c r="C52" t="s">
        <v>603</v>
      </c>
    </row>
    <row r="53" spans="3:3">
      <c r="C53" t="s">
        <v>604</v>
      </c>
    </row>
    <row r="54" spans="3:3">
      <c r="C54" t="s">
        <v>605</v>
      </c>
    </row>
    <row r="56" spans="3:3">
      <c r="C56" t="s">
        <v>324</v>
      </c>
    </row>
    <row r="58" spans="3:3">
      <c r="C58" t="s">
        <v>606</v>
      </c>
    </row>
    <row r="59" spans="3:3">
      <c r="C59" t="s">
        <v>594</v>
      </c>
    </row>
    <row r="60" spans="3:3">
      <c r="C60" t="s">
        <v>595</v>
      </c>
    </row>
    <row r="61" spans="3:3">
      <c r="C61" t="s">
        <v>607</v>
      </c>
    </row>
    <row r="62" spans="3:3">
      <c r="C62" t="s">
        <v>608</v>
      </c>
    </row>
    <row r="63" spans="3:3">
      <c r="C63" t="s">
        <v>609</v>
      </c>
    </row>
    <row r="64" spans="3:3">
      <c r="C64" t="s">
        <v>610</v>
      </c>
    </row>
    <row r="66" spans="3:3">
      <c r="C66" t="s">
        <v>324</v>
      </c>
    </row>
    <row r="68" spans="3:3">
      <c r="C68" t="s">
        <v>611</v>
      </c>
    </row>
    <row r="69" spans="3:3">
      <c r="C69" t="s">
        <v>594</v>
      </c>
    </row>
    <row r="70" spans="3:3">
      <c r="C70" t="s">
        <v>595</v>
      </c>
    </row>
    <row r="71" spans="3:3">
      <c r="C71" t="s">
        <v>612</v>
      </c>
    </row>
    <row r="72" spans="3:3">
      <c r="C72" t="s">
        <v>613</v>
      </c>
    </row>
    <row r="73" spans="3:3">
      <c r="C73" t="s">
        <v>614</v>
      </c>
    </row>
    <row r="75" spans="3:3">
      <c r="C75" t="s">
        <v>324</v>
      </c>
    </row>
    <row r="77" spans="3:3">
      <c r="C77" t="s">
        <v>615</v>
      </c>
    </row>
    <row r="78" spans="3:3">
      <c r="C78" t="s">
        <v>616</v>
      </c>
    </row>
    <row r="79" spans="3:3">
      <c r="C79" t="s">
        <v>617</v>
      </c>
    </row>
    <row r="80" spans="3:3">
      <c r="C80" t="s">
        <v>618</v>
      </c>
    </row>
    <row r="82" spans="3:3">
      <c r="C82" t="s">
        <v>619</v>
      </c>
    </row>
    <row r="86" spans="3:3">
      <c r="C86" t="s">
        <v>620</v>
      </c>
    </row>
    <row r="88" spans="3:3">
      <c r="C88" t="s">
        <v>324</v>
      </c>
    </row>
    <row r="90" spans="3:3">
      <c r="C90" t="s">
        <v>621</v>
      </c>
    </row>
    <row r="91" spans="3:3">
      <c r="C91" t="s">
        <v>622</v>
      </c>
    </row>
    <row r="92" spans="3:3">
      <c r="C92" t="s">
        <v>623</v>
      </c>
    </row>
    <row r="93" spans="3:3">
      <c r="C93" t="s">
        <v>624</v>
      </c>
    </row>
    <row r="94" spans="3:3">
      <c r="C94" t="s">
        <v>625</v>
      </c>
    </row>
    <row r="95" spans="3:3">
      <c r="C95" t="s">
        <v>626</v>
      </c>
    </row>
    <row r="96" spans="3:3">
      <c r="C96" t="s">
        <v>627</v>
      </c>
    </row>
    <row r="98" spans="3:3">
      <c r="C98" t="s">
        <v>628</v>
      </c>
    </row>
    <row r="99" spans="3:3">
      <c r="C99" t="s">
        <v>629</v>
      </c>
    </row>
    <row r="101" spans="3:3">
      <c r="C101" t="s">
        <v>630</v>
      </c>
    </row>
    <row r="103" spans="3:3">
      <c r="C103" t="s">
        <v>631</v>
      </c>
    </row>
    <row r="104" spans="3:3">
      <c r="C104" t="s">
        <v>632</v>
      </c>
    </row>
    <row r="105" spans="3:3">
      <c r="C105" t="s">
        <v>633</v>
      </c>
    </row>
    <row r="106" spans="3:3">
      <c r="C106" t="s">
        <v>634</v>
      </c>
    </row>
    <row r="107" spans="3:3">
      <c r="C107" t="s">
        <v>635</v>
      </c>
    </row>
    <row r="108" spans="3:3">
      <c r="C108" t="s">
        <v>636</v>
      </c>
    </row>
    <row r="109" spans="3:3">
      <c r="C109" t="s">
        <v>637</v>
      </c>
    </row>
    <row r="110" spans="3:3">
      <c r="C110" t="s">
        <v>638</v>
      </c>
    </row>
    <row r="111" spans="3:3">
      <c r="C111" t="s">
        <v>639</v>
      </c>
    </row>
    <row r="112" spans="3:3">
      <c r="C112" t="s">
        <v>640</v>
      </c>
    </row>
    <row r="113" spans="3:4">
      <c r="C113" t="s">
        <v>641</v>
      </c>
    </row>
    <row r="114" spans="3:4">
      <c r="C114" t="s">
        <v>642</v>
      </c>
    </row>
    <row r="115" spans="3:4">
      <c r="C115" t="s">
        <v>643</v>
      </c>
    </row>
    <row r="116" spans="3:4">
      <c r="C116" t="s">
        <v>644</v>
      </c>
    </row>
    <row r="117" spans="3:4">
      <c r="C117" t="s">
        <v>645</v>
      </c>
    </row>
    <row r="118" spans="3:4">
      <c r="C118" t="s">
        <v>646</v>
      </c>
    </row>
    <row r="119" spans="3:4">
      <c r="C119" t="s">
        <v>647</v>
      </c>
    </row>
    <row r="120" spans="3:4">
      <c r="C120" t="s">
        <v>648</v>
      </c>
    </row>
    <row r="121" spans="3:4">
      <c r="C121" t="s">
        <v>649</v>
      </c>
    </row>
    <row r="122" spans="3:4">
      <c r="C122" t="s">
        <v>650</v>
      </c>
    </row>
    <row r="123" spans="3:4">
      <c r="D123" t="s">
        <v>651</v>
      </c>
    </row>
    <row r="125" spans="3:4">
      <c r="D125" t="s">
        <v>324</v>
      </c>
    </row>
    <row r="127" spans="3:4">
      <c r="D127" t="s">
        <v>652</v>
      </c>
    </row>
    <row r="129" spans="4:4">
      <c r="D129" t="s">
        <v>653</v>
      </c>
    </row>
    <row r="130" spans="4:4">
      <c r="D130" t="s">
        <v>654</v>
      </c>
    </row>
    <row r="131" spans="4:4">
      <c r="D131" t="s">
        <v>655</v>
      </c>
    </row>
    <row r="132" spans="4:4">
      <c r="D132" t="s">
        <v>656</v>
      </c>
    </row>
    <row r="133" spans="4:4">
      <c r="D133" t="s">
        <v>657</v>
      </c>
    </row>
    <row r="134" spans="4:4">
      <c r="D134" t="s">
        <v>658</v>
      </c>
    </row>
    <row r="135" spans="4:4">
      <c r="D135" t="s">
        <v>659</v>
      </c>
    </row>
    <row r="136" spans="4:4">
      <c r="D136" t="s">
        <v>660</v>
      </c>
    </row>
    <row r="137" spans="4:4">
      <c r="D137" t="s">
        <v>661</v>
      </c>
    </row>
    <row r="138" spans="4:4">
      <c r="D138" t="s">
        <v>662</v>
      </c>
    </row>
    <row r="139" spans="4:4">
      <c r="D139" t="s">
        <v>663</v>
      </c>
    </row>
    <row r="141" spans="4:4">
      <c r="D141" t="s">
        <v>324</v>
      </c>
    </row>
    <row r="143" spans="4:4">
      <c r="D143" t="s">
        <v>664</v>
      </c>
    </row>
    <row r="145" spans="3:4">
      <c r="D145" t="s">
        <v>665</v>
      </c>
    </row>
    <row r="146" spans="3:4">
      <c r="D146" t="s">
        <v>666</v>
      </c>
    </row>
    <row r="148" spans="3:4">
      <c r="D148" t="s">
        <v>667</v>
      </c>
    </row>
    <row r="149" spans="3:4">
      <c r="D149" t="s">
        <v>668</v>
      </c>
    </row>
    <row r="151" spans="3:4">
      <c r="D151" t="s">
        <v>669</v>
      </c>
    </row>
    <row r="152" spans="3:4">
      <c r="D152" t="s">
        <v>670</v>
      </c>
    </row>
    <row r="154" spans="3:4">
      <c r="D154" t="s">
        <v>324</v>
      </c>
    </row>
    <row r="156" spans="3:4">
      <c r="D156" t="s">
        <v>671</v>
      </c>
    </row>
    <row r="158" spans="3:4">
      <c r="C158" t="s">
        <v>672</v>
      </c>
    </row>
    <row r="159" spans="3:4">
      <c r="C159" t="s">
        <v>673</v>
      </c>
    </row>
    <row r="160" spans="3:4">
      <c r="C160" t="s">
        <v>674</v>
      </c>
    </row>
    <row r="161" spans="3:3">
      <c r="C161" t="s">
        <v>675</v>
      </c>
    </row>
    <row r="163" spans="3:3">
      <c r="C163" t="s">
        <v>324</v>
      </c>
    </row>
    <row r="165" spans="3:3">
      <c r="C165" t="s">
        <v>676</v>
      </c>
    </row>
    <row r="167" spans="3:3">
      <c r="C167" t="s">
        <v>677</v>
      </c>
    </row>
    <row r="168" spans="3:3">
      <c r="C168" t="s">
        <v>678</v>
      </c>
    </row>
    <row r="170" spans="3:3">
      <c r="C170" t="s">
        <v>324</v>
      </c>
    </row>
    <row r="172" spans="3:3">
      <c r="C172" t="s">
        <v>679</v>
      </c>
    </row>
    <row r="174" spans="3:3">
      <c r="C174" t="s">
        <v>628</v>
      </c>
    </row>
    <row r="175" spans="3:3">
      <c r="C175" t="s">
        <v>680</v>
      </c>
    </row>
    <row r="176" spans="3:3">
      <c r="C176" t="s">
        <v>681</v>
      </c>
    </row>
    <row r="178" spans="3:3">
      <c r="C178" t="s">
        <v>324</v>
      </c>
    </row>
    <row r="180" spans="3:3">
      <c r="C180" t="s">
        <v>682</v>
      </c>
    </row>
    <row r="182" spans="3:3">
      <c r="C182" t="s">
        <v>631</v>
      </c>
    </row>
    <row r="183" spans="3:3">
      <c r="C183" t="s">
        <v>632</v>
      </c>
    </row>
    <row r="184" spans="3:3">
      <c r="C184" t="s">
        <v>683</v>
      </c>
    </row>
    <row r="185" spans="3:3">
      <c r="C185" t="s">
        <v>684</v>
      </c>
    </row>
    <row r="186" spans="3:3">
      <c r="C186" t="s">
        <v>685</v>
      </c>
    </row>
    <row r="187" spans="3:3">
      <c r="C187" t="s">
        <v>686</v>
      </c>
    </row>
    <row r="188" spans="3:3">
      <c r="C188" t="s">
        <v>687</v>
      </c>
    </row>
    <row r="189" spans="3:3">
      <c r="C189" t="s">
        <v>688</v>
      </c>
    </row>
    <row r="190" spans="3:3">
      <c r="C190" t="s">
        <v>689</v>
      </c>
    </row>
    <row r="191" spans="3:3">
      <c r="C191" t="s">
        <v>690</v>
      </c>
    </row>
    <row r="192" spans="3:3">
      <c r="C192" t="s">
        <v>691</v>
      </c>
    </row>
    <row r="193" spans="3:3">
      <c r="C193" t="s">
        <v>692</v>
      </c>
    </row>
    <row r="194" spans="3:3">
      <c r="C194" t="s">
        <v>693</v>
      </c>
    </row>
    <row r="195" spans="3:3">
      <c r="C195" t="s">
        <v>694</v>
      </c>
    </row>
    <row r="196" spans="3:3">
      <c r="C196" t="s">
        <v>695</v>
      </c>
    </row>
    <row r="197" spans="3:3">
      <c r="C197" t="s">
        <v>696</v>
      </c>
    </row>
    <row r="198" spans="3:3">
      <c r="C198" t="s">
        <v>697</v>
      </c>
    </row>
    <row r="200" spans="3:3">
      <c r="C200" t="s">
        <v>324</v>
      </c>
    </row>
    <row r="202" spans="3:3">
      <c r="C202" t="s">
        <v>698</v>
      </c>
    </row>
    <row r="204" spans="3:3">
      <c r="C204" t="s">
        <v>699</v>
      </c>
    </row>
    <row r="205" spans="3:3">
      <c r="C205" t="s">
        <v>700</v>
      </c>
    </row>
    <row r="206" spans="3:3">
      <c r="C206" t="s">
        <v>701</v>
      </c>
    </row>
    <row r="207" spans="3:3">
      <c r="C207" t="s">
        <v>702</v>
      </c>
    </row>
    <row r="209" spans="3:3">
      <c r="C209" t="s">
        <v>703</v>
      </c>
    </row>
    <row r="211" spans="3:3">
      <c r="C211" t="s">
        <v>324</v>
      </c>
    </row>
    <row r="215" spans="3:3">
      <c r="C215" t="s">
        <v>704</v>
      </c>
    </row>
    <row r="216" spans="3:3">
      <c r="C216" t="s">
        <v>594</v>
      </c>
    </row>
    <row r="217" spans="3:3">
      <c r="C217" t="s">
        <v>595</v>
      </c>
    </row>
    <row r="218" spans="3:3">
      <c r="C218" t="s">
        <v>705</v>
      </c>
    </row>
    <row r="219" spans="3:3">
      <c r="C219" t="s">
        <v>706</v>
      </c>
    </row>
    <row r="220" spans="3:3">
      <c r="C220" t="s">
        <v>707</v>
      </c>
    </row>
    <row r="221" spans="3:3">
      <c r="C221" t="s">
        <v>708</v>
      </c>
    </row>
    <row r="223" spans="3:3">
      <c r="C223" t="s">
        <v>324</v>
      </c>
    </row>
    <row r="225" spans="3:13">
      <c r="C225" t="s">
        <v>709</v>
      </c>
    </row>
    <row r="226" spans="3:13">
      <c r="C226" t="s">
        <v>594</v>
      </c>
    </row>
    <row r="227" spans="3:13">
      <c r="C227" t="s">
        <v>595</v>
      </c>
    </row>
    <row r="228" spans="3:13">
      <c r="C228" t="s">
        <v>710</v>
      </c>
    </row>
    <row r="229" spans="3:13">
      <c r="C229" t="s">
        <v>711</v>
      </c>
    </row>
    <row r="230" spans="3:13">
      <c r="C230" t="s">
        <v>712</v>
      </c>
    </row>
    <row r="231" spans="3:13">
      <c r="C231" t="s">
        <v>713</v>
      </c>
    </row>
    <row r="233" spans="3:13">
      <c r="C233" t="s">
        <v>324</v>
      </c>
    </row>
    <row r="235" spans="3:13">
      <c r="C235" t="s">
        <v>714</v>
      </c>
      <c r="L235" s="65" t="s">
        <v>848</v>
      </c>
    </row>
    <row r="236" spans="3:13">
      <c r="M236" s="96" t="s">
        <v>847</v>
      </c>
    </row>
    <row r="237" spans="3:13">
      <c r="C237" t="s">
        <v>631</v>
      </c>
    </row>
    <row r="238" spans="3:13">
      <c r="C238" t="s">
        <v>632</v>
      </c>
      <c r="L238" s="65" t="s">
        <v>849</v>
      </c>
    </row>
    <row r="239" spans="3:13">
      <c r="C239" t="s">
        <v>715</v>
      </c>
      <c r="M239" t="s">
        <v>850</v>
      </c>
    </row>
    <row r="240" spans="3:13">
      <c r="C240" t="s">
        <v>716</v>
      </c>
    </row>
    <row r="241" spans="3:13">
      <c r="C241" t="s">
        <v>717</v>
      </c>
      <c r="L241" s="65" t="s">
        <v>851</v>
      </c>
    </row>
    <row r="242" spans="3:13">
      <c r="C242" t="s">
        <v>718</v>
      </c>
      <c r="M242" t="s">
        <v>852</v>
      </c>
    </row>
    <row r="243" spans="3:13">
      <c r="C243" t="s">
        <v>719</v>
      </c>
    </row>
    <row r="244" spans="3:13">
      <c r="C244" t="s">
        <v>720</v>
      </c>
      <c r="L244" s="65" t="s">
        <v>853</v>
      </c>
    </row>
    <row r="245" spans="3:13">
      <c r="C245" t="s">
        <v>721</v>
      </c>
      <c r="M245" t="s">
        <v>854</v>
      </c>
    </row>
    <row r="246" spans="3:13">
      <c r="C246" t="s">
        <v>722</v>
      </c>
    </row>
    <row r="247" spans="3:13">
      <c r="C247" t="s">
        <v>723</v>
      </c>
      <c r="L247" s="65" t="s">
        <v>855</v>
      </c>
    </row>
    <row r="248" spans="3:13">
      <c r="C248" t="s">
        <v>724</v>
      </c>
      <c r="M248" t="s">
        <v>856</v>
      </c>
    </row>
    <row r="249" spans="3:13">
      <c r="C249" t="s">
        <v>725</v>
      </c>
      <c r="M249" t="s">
        <v>857</v>
      </c>
    </row>
    <row r="250" spans="3:13">
      <c r="C250" t="s">
        <v>726</v>
      </c>
    </row>
    <row r="251" spans="3:13">
      <c r="C251" t="s">
        <v>727</v>
      </c>
    </row>
    <row r="252" spans="3:13">
      <c r="C252" t="s">
        <v>728</v>
      </c>
    </row>
    <row r="253" spans="3:13">
      <c r="C253" t="s">
        <v>729</v>
      </c>
    </row>
    <row r="254" spans="3:13">
      <c r="C254" t="s">
        <v>730</v>
      </c>
    </row>
    <row r="255" spans="3:13">
      <c r="C255" t="s">
        <v>731</v>
      </c>
    </row>
    <row r="256" spans="3:13">
      <c r="C256" t="s">
        <v>732</v>
      </c>
    </row>
    <row r="257" spans="4:5" s="94" customFormat="1"/>
    <row r="258" spans="4:5" s="94" customFormat="1">
      <c r="D258" s="94" t="s">
        <v>858</v>
      </c>
    </row>
    <row r="259" spans="4:5" s="94" customFormat="1"/>
    <row r="260" spans="4:5" s="94" customFormat="1">
      <c r="E260" s="94" t="s">
        <v>324</v>
      </c>
    </row>
    <row r="261" spans="4:5" s="94" customFormat="1"/>
    <row r="262" spans="4:5" s="94" customFormat="1">
      <c r="E262" s="94" t="s">
        <v>859</v>
      </c>
    </row>
    <row r="263" spans="4:5" s="94" customFormat="1"/>
    <row r="264" spans="4:5" s="94" customFormat="1">
      <c r="E264" s="94" t="s">
        <v>860</v>
      </c>
    </row>
    <row r="265" spans="4:5" s="94" customFormat="1">
      <c r="E265" s="94" t="s">
        <v>861</v>
      </c>
    </row>
    <row r="266" spans="4:5" s="94" customFormat="1">
      <c r="E266" s="94" t="s">
        <v>862</v>
      </c>
    </row>
    <row r="267" spans="4:5" s="94" customFormat="1">
      <c r="E267" s="94" t="s">
        <v>863</v>
      </c>
    </row>
    <row r="268" spans="4:5" s="94" customFormat="1">
      <c r="E268" s="94" t="s">
        <v>864</v>
      </c>
    </row>
    <row r="269" spans="4:5" s="94" customFormat="1">
      <c r="E269" s="94" t="s">
        <v>865</v>
      </c>
    </row>
    <row r="270" spans="4:5" s="94" customFormat="1">
      <c r="E270" s="94" t="s">
        <v>866</v>
      </c>
    </row>
    <row r="271" spans="4:5" s="94" customFormat="1">
      <c r="E271" s="94" t="s">
        <v>867</v>
      </c>
    </row>
    <row r="272" spans="4:5" s="94" customFormat="1">
      <c r="E272" s="94" t="s">
        <v>868</v>
      </c>
    </row>
    <row r="273" spans="5:5" s="94" customFormat="1">
      <c r="E273" s="94" t="s">
        <v>869</v>
      </c>
    </row>
    <row r="274" spans="5:5" s="94" customFormat="1"/>
    <row r="275" spans="5:5" s="94" customFormat="1">
      <c r="E275" s="94" t="s">
        <v>324</v>
      </c>
    </row>
    <row r="276" spans="5:5" s="94" customFormat="1"/>
    <row r="277" spans="5:5" s="94" customFormat="1">
      <c r="E277" s="94" t="s">
        <v>870</v>
      </c>
    </row>
    <row r="278" spans="5:5" s="94" customFormat="1"/>
    <row r="279" spans="5:5" s="94" customFormat="1">
      <c r="E279" s="94" t="s">
        <v>871</v>
      </c>
    </row>
    <row r="280" spans="5:5" s="94" customFormat="1">
      <c r="E280" s="94" t="s">
        <v>872</v>
      </c>
    </row>
    <row r="281" spans="5:5" s="94" customFormat="1">
      <c r="E281" s="94" t="s">
        <v>873</v>
      </c>
    </row>
    <row r="282" spans="5:5" s="94" customFormat="1">
      <c r="E282" s="94" t="s">
        <v>874</v>
      </c>
    </row>
    <row r="283" spans="5:5" s="94" customFormat="1"/>
    <row r="284" spans="5:5" s="94" customFormat="1">
      <c r="E284" s="94" t="s">
        <v>875</v>
      </c>
    </row>
    <row r="285" spans="5:5" s="94" customFormat="1">
      <c r="E285" s="94" t="s">
        <v>876</v>
      </c>
    </row>
    <row r="286" spans="5:5" s="94" customFormat="1">
      <c r="E286" s="94" t="s">
        <v>877</v>
      </c>
    </row>
    <row r="287" spans="5:5" s="94" customFormat="1"/>
    <row r="288" spans="5:5" s="94" customFormat="1">
      <c r="E288" s="94" t="s">
        <v>324</v>
      </c>
    </row>
    <row r="289" spans="5:7" s="94" customFormat="1"/>
    <row r="290" spans="5:7" s="94" customFormat="1">
      <c r="E290" s="94" t="s">
        <v>878</v>
      </c>
    </row>
    <row r="291" spans="5:7" s="94" customFormat="1"/>
    <row r="292" spans="5:7" s="94" customFormat="1">
      <c r="E292" s="94" t="s">
        <v>879</v>
      </c>
    </row>
    <row r="293" spans="5:7" s="94" customFormat="1">
      <c r="E293" s="94" t="s">
        <v>753</v>
      </c>
    </row>
    <row r="294" spans="5:7" s="94" customFormat="1">
      <c r="E294" s="94" t="s">
        <v>880</v>
      </c>
    </row>
    <row r="295" spans="5:7" s="94" customFormat="1">
      <c r="E295" s="94" t="s">
        <v>881</v>
      </c>
    </row>
    <row r="296" spans="5:7" s="94" customFormat="1">
      <c r="F296" s="94" t="s">
        <v>882</v>
      </c>
    </row>
    <row r="297" spans="5:7" s="94" customFormat="1">
      <c r="F297" s="94" t="s">
        <v>883</v>
      </c>
    </row>
    <row r="298" spans="5:7" s="94" customFormat="1">
      <c r="G298" s="94" t="s">
        <v>884</v>
      </c>
    </row>
    <row r="299" spans="5:7" s="94" customFormat="1">
      <c r="F299" s="94" t="s">
        <v>885</v>
      </c>
    </row>
    <row r="300" spans="5:7" s="94" customFormat="1">
      <c r="E300" s="94" t="s">
        <v>885</v>
      </c>
    </row>
    <row r="301" spans="5:7" s="94" customFormat="1">
      <c r="E301" s="94" t="s">
        <v>381</v>
      </c>
    </row>
    <row r="302" spans="5:7" s="94" customFormat="1"/>
    <row r="303" spans="5:7" s="94" customFormat="1">
      <c r="E303" s="94" t="s">
        <v>886</v>
      </c>
    </row>
    <row r="304" spans="5:7" s="94" customFormat="1">
      <c r="E304" s="94" t="s">
        <v>753</v>
      </c>
    </row>
    <row r="305" spans="3:6" s="94" customFormat="1">
      <c r="E305" s="94" t="s">
        <v>887</v>
      </c>
    </row>
    <row r="306" spans="3:6" s="94" customFormat="1">
      <c r="F306" s="94" t="s">
        <v>888</v>
      </c>
    </row>
    <row r="307" spans="3:6" s="94" customFormat="1">
      <c r="F307" s="94" t="s">
        <v>889</v>
      </c>
    </row>
    <row r="308" spans="3:6" s="94" customFormat="1">
      <c r="E308" s="94" t="s">
        <v>885</v>
      </c>
    </row>
    <row r="309" spans="3:6" s="94" customFormat="1">
      <c r="E309" s="94" t="s">
        <v>381</v>
      </c>
    </row>
    <row r="310" spans="3:6">
      <c r="C310" t="s">
        <v>695</v>
      </c>
    </row>
    <row r="311" spans="3:6">
      <c r="C311" t="s">
        <v>733</v>
      </c>
    </row>
    <row r="313" spans="3:6">
      <c r="C313" t="s">
        <v>324</v>
      </c>
    </row>
    <row r="315" spans="3:6">
      <c r="C315" t="s">
        <v>734</v>
      </c>
    </row>
    <row r="317" spans="3:6">
      <c r="C317" t="s">
        <v>735</v>
      </c>
    </row>
    <row r="319" spans="3:6">
      <c r="C319" t="s">
        <v>736</v>
      </c>
    </row>
    <row r="320" spans="3:6">
      <c r="C320" t="s">
        <v>737</v>
      </c>
    </row>
    <row r="321" spans="3:3">
      <c r="C321" t="s">
        <v>738</v>
      </c>
    </row>
    <row r="323" spans="3:3">
      <c r="C323" t="s">
        <v>739</v>
      </c>
    </row>
    <row r="325" spans="3:3">
      <c r="C325" t="s">
        <v>324</v>
      </c>
    </row>
    <row r="327" spans="3:3">
      <c r="C327" t="s">
        <v>740</v>
      </c>
    </row>
    <row r="329" spans="3:3">
      <c r="C329" t="s">
        <v>631</v>
      </c>
    </row>
    <row r="330" spans="3:3">
      <c r="C330" t="s">
        <v>632</v>
      </c>
    </row>
    <row r="331" spans="3:3">
      <c r="C331" t="s">
        <v>715</v>
      </c>
    </row>
    <row r="332" spans="3:3">
      <c r="C332" t="s">
        <v>716</v>
      </c>
    </row>
    <row r="333" spans="3:3">
      <c r="C333" t="s">
        <v>717</v>
      </c>
    </row>
    <row r="334" spans="3:3">
      <c r="C334" t="s">
        <v>718</v>
      </c>
    </row>
    <row r="335" spans="3:3">
      <c r="C335" t="s">
        <v>719</v>
      </c>
    </row>
    <row r="336" spans="3:3">
      <c r="C336" t="s">
        <v>720</v>
      </c>
    </row>
    <row r="337" spans="3:3">
      <c r="C337" t="s">
        <v>721</v>
      </c>
    </row>
    <row r="338" spans="3:3">
      <c r="C338" t="s">
        <v>722</v>
      </c>
    </row>
    <row r="339" spans="3:3">
      <c r="C339" t="s">
        <v>723</v>
      </c>
    </row>
    <row r="340" spans="3:3">
      <c r="C340" t="s">
        <v>724</v>
      </c>
    </row>
    <row r="341" spans="3:3">
      <c r="C341" t="s">
        <v>725</v>
      </c>
    </row>
    <row r="342" spans="3:3">
      <c r="C342" t="s">
        <v>726</v>
      </c>
    </row>
    <row r="343" spans="3:3">
      <c r="C343" t="s">
        <v>727</v>
      </c>
    </row>
    <row r="344" spans="3:3">
      <c r="C344" t="s">
        <v>728</v>
      </c>
    </row>
    <row r="345" spans="3:3">
      <c r="C345" t="s">
        <v>741</v>
      </c>
    </row>
    <row r="346" spans="3:3">
      <c r="C346" t="s">
        <v>731</v>
      </c>
    </row>
    <row r="347" spans="3:3">
      <c r="C347" t="s">
        <v>732</v>
      </c>
    </row>
    <row r="348" spans="3:3">
      <c r="C348" t="s">
        <v>742</v>
      </c>
    </row>
    <row r="349" spans="3:3">
      <c r="C349" t="s">
        <v>743</v>
      </c>
    </row>
    <row r="350" spans="3:3">
      <c r="C350" t="s">
        <v>744</v>
      </c>
    </row>
    <row r="352" spans="3:3">
      <c r="C352" t="s">
        <v>324</v>
      </c>
    </row>
    <row r="354" spans="3:3">
      <c r="C354" t="s">
        <v>745</v>
      </c>
    </row>
    <row r="356" spans="3:3">
      <c r="C356" t="s">
        <v>746</v>
      </c>
    </row>
    <row r="357" spans="3:3">
      <c r="C357" t="s">
        <v>747</v>
      </c>
    </row>
    <row r="358" spans="3:3">
      <c r="C358" t="s">
        <v>748</v>
      </c>
    </row>
    <row r="359" spans="3:3">
      <c r="C359" t="s">
        <v>749</v>
      </c>
    </row>
    <row r="361" spans="3:3">
      <c r="C361" t="s">
        <v>324</v>
      </c>
    </row>
    <row r="362" spans="3:3">
      <c r="C362" t="s">
        <v>750</v>
      </c>
    </row>
    <row r="364" spans="3:3">
      <c r="C364" t="s">
        <v>324</v>
      </c>
    </row>
    <row r="366" spans="3:3">
      <c r="C366" t="s">
        <v>751</v>
      </c>
    </row>
    <row r="368" spans="3:3">
      <c r="C368" t="s">
        <v>752</v>
      </c>
    </row>
    <row r="369" spans="3:3">
      <c r="C369" t="s">
        <v>753</v>
      </c>
    </row>
    <row r="370" spans="3:3">
      <c r="C370" t="s">
        <v>754</v>
      </c>
    </row>
    <row r="371" spans="3:3">
      <c r="C371" t="s">
        <v>755</v>
      </c>
    </row>
    <row r="372" spans="3:3">
      <c r="C372" t="s">
        <v>756</v>
      </c>
    </row>
    <row r="373" spans="3:3">
      <c r="C373" t="s">
        <v>381</v>
      </c>
    </row>
    <row r="375" spans="3:3">
      <c r="C375" t="s">
        <v>757</v>
      </c>
    </row>
    <row r="376" spans="3:3">
      <c r="C376" t="s">
        <v>753</v>
      </c>
    </row>
    <row r="377" spans="3:3">
      <c r="C377" t="s">
        <v>758</v>
      </c>
    </row>
    <row r="378" spans="3:3">
      <c r="C378" t="s">
        <v>759</v>
      </c>
    </row>
    <row r="379" spans="3:3">
      <c r="C379" t="s">
        <v>760</v>
      </c>
    </row>
    <row r="380" spans="3:3">
      <c r="C380" t="s">
        <v>381</v>
      </c>
    </row>
    <row r="382" spans="3:3">
      <c r="C382" t="s">
        <v>761</v>
      </c>
    </row>
    <row r="383" spans="3:3">
      <c r="C383" t="s">
        <v>753</v>
      </c>
    </row>
    <row r="384" spans="3:3">
      <c r="C384" t="s">
        <v>762</v>
      </c>
    </row>
    <row r="385" spans="3:3">
      <c r="C385" t="s">
        <v>381</v>
      </c>
    </row>
    <row r="386" spans="3:3">
      <c r="C386" t="s">
        <v>763</v>
      </c>
    </row>
    <row r="388" spans="3:3">
      <c r="C388" t="s">
        <v>764</v>
      </c>
    </row>
    <row r="389" spans="3:3">
      <c r="C389" t="s">
        <v>753</v>
      </c>
    </row>
    <row r="390" spans="3:3">
      <c r="C390" t="s">
        <v>765</v>
      </c>
    </row>
    <row r="391" spans="3:3">
      <c r="C391" t="s">
        <v>766</v>
      </c>
    </row>
    <row r="392" spans="3:3">
      <c r="C392" t="s">
        <v>381</v>
      </c>
    </row>
    <row r="394" spans="3:3">
      <c r="C394" t="s">
        <v>767</v>
      </c>
    </row>
    <row r="395" spans="3:3">
      <c r="C395" t="s">
        <v>753</v>
      </c>
    </row>
    <row r="396" spans="3:3">
      <c r="C396" t="s">
        <v>768</v>
      </c>
    </row>
    <row r="397" spans="3:3">
      <c r="C397" t="s">
        <v>381</v>
      </c>
    </row>
    <row r="399" spans="3:3">
      <c r="C399" t="s">
        <v>769</v>
      </c>
    </row>
    <row r="400" spans="3:3">
      <c r="C400" t="s">
        <v>753</v>
      </c>
    </row>
    <row r="401" spans="3:3">
      <c r="C401" t="s">
        <v>770</v>
      </c>
    </row>
    <row r="402" spans="3:3">
      <c r="C402" t="s">
        <v>381</v>
      </c>
    </row>
    <row r="404" spans="3:3">
      <c r="C404" t="s">
        <v>771</v>
      </c>
    </row>
    <row r="405" spans="3:3">
      <c r="C405" t="s">
        <v>753</v>
      </c>
    </row>
    <row r="406" spans="3:3">
      <c r="C406" t="s">
        <v>772</v>
      </c>
    </row>
    <row r="407" spans="3:3">
      <c r="C407" t="s">
        <v>773</v>
      </c>
    </row>
    <row r="408" spans="3:3">
      <c r="C408" t="s">
        <v>774</v>
      </c>
    </row>
    <row r="409" spans="3:3">
      <c r="C409" t="s">
        <v>775</v>
      </c>
    </row>
    <row r="410" spans="3:3">
      <c r="C410" t="s">
        <v>381</v>
      </c>
    </row>
    <row r="411" spans="3:3">
      <c r="C411" t="s">
        <v>776</v>
      </c>
    </row>
    <row r="413" spans="3:3">
      <c r="C413" t="s">
        <v>324</v>
      </c>
    </row>
    <row r="415" spans="3:3">
      <c r="C415" t="s">
        <v>777</v>
      </c>
    </row>
    <row r="417" spans="3:3">
      <c r="C417" t="s">
        <v>324</v>
      </c>
    </row>
    <row r="419" spans="3:3">
      <c r="C419" t="s">
        <v>778</v>
      </c>
    </row>
    <row r="421" spans="3:3">
      <c r="C421" t="s">
        <v>631</v>
      </c>
    </row>
    <row r="422" spans="3:3">
      <c r="C422" t="s">
        <v>632</v>
      </c>
    </row>
    <row r="423" spans="3:3">
      <c r="C423" t="s">
        <v>779</v>
      </c>
    </row>
    <row r="424" spans="3:3">
      <c r="C424" t="s">
        <v>780</v>
      </c>
    </row>
    <row r="425" spans="3:3">
      <c r="C425" t="s">
        <v>781</v>
      </c>
    </row>
    <row r="426" spans="3:3">
      <c r="C426" t="s">
        <v>782</v>
      </c>
    </row>
    <row r="427" spans="3:3">
      <c r="C427" t="s">
        <v>783</v>
      </c>
    </row>
    <row r="428" spans="3:3">
      <c r="C428" t="s">
        <v>784</v>
      </c>
    </row>
    <row r="429" spans="3:3">
      <c r="C429" t="s">
        <v>785</v>
      </c>
    </row>
    <row r="430" spans="3:3">
      <c r="C430" t="s">
        <v>786</v>
      </c>
    </row>
    <row r="431" spans="3:3">
      <c r="C431" t="s">
        <v>787</v>
      </c>
    </row>
    <row r="432" spans="3:3">
      <c r="C432" t="s">
        <v>788</v>
      </c>
    </row>
    <row r="433" spans="3:3">
      <c r="C433" t="s">
        <v>789</v>
      </c>
    </row>
    <row r="434" spans="3:3">
      <c r="C434" t="s">
        <v>790</v>
      </c>
    </row>
    <row r="435" spans="3:3">
      <c r="C435" t="s">
        <v>791</v>
      </c>
    </row>
    <row r="436" spans="3:3">
      <c r="C436" t="s">
        <v>792</v>
      </c>
    </row>
    <row r="437" spans="3:3">
      <c r="C437" t="s">
        <v>793</v>
      </c>
    </row>
    <row r="439" spans="3:3">
      <c r="C439" t="s">
        <v>324</v>
      </c>
    </row>
    <row r="441" spans="3:3">
      <c r="C441" t="s">
        <v>794</v>
      </c>
    </row>
    <row r="443" spans="3:3">
      <c r="C443" t="s">
        <v>795</v>
      </c>
    </row>
    <row r="444" spans="3:3">
      <c r="C444" t="s">
        <v>796</v>
      </c>
    </row>
    <row r="445" spans="3:3">
      <c r="C445" t="s">
        <v>797</v>
      </c>
    </row>
    <row r="446" spans="3:3">
      <c r="C446" t="s">
        <v>798</v>
      </c>
    </row>
    <row r="447" spans="3:3">
      <c r="C447" t="s">
        <v>799</v>
      </c>
    </row>
    <row r="449" spans="3:3">
      <c r="C449" t="s">
        <v>800</v>
      </c>
    </row>
    <row r="451" spans="3:3">
      <c r="C451" t="s">
        <v>324</v>
      </c>
    </row>
    <row r="452" spans="3:3">
      <c r="C452" t="s">
        <v>801</v>
      </c>
    </row>
    <row r="454" spans="3:3">
      <c r="C454" t="s">
        <v>324</v>
      </c>
    </row>
    <row r="456" spans="3:3">
      <c r="C456" t="s">
        <v>802</v>
      </c>
    </row>
    <row r="458" spans="3:3">
      <c r="C458" t="s">
        <v>803</v>
      </c>
    </row>
    <row r="459" spans="3:3">
      <c r="C459" t="s">
        <v>753</v>
      </c>
    </row>
    <row r="460" spans="3:3">
      <c r="C460" t="s">
        <v>804</v>
      </c>
    </row>
    <row r="461" spans="3:3">
      <c r="C461" t="s">
        <v>805</v>
      </c>
    </row>
    <row r="462" spans="3:3">
      <c r="C462" t="s">
        <v>381</v>
      </c>
    </row>
    <row r="464" spans="3:3">
      <c r="C464" t="s">
        <v>806</v>
      </c>
    </row>
    <row r="465" spans="3:3">
      <c r="C465" t="s">
        <v>753</v>
      </c>
    </row>
    <row r="466" spans="3:3">
      <c r="C466" t="s">
        <v>807</v>
      </c>
    </row>
    <row r="467" spans="3:3">
      <c r="C467" t="s">
        <v>381</v>
      </c>
    </row>
    <row r="469" spans="3:3">
      <c r="C469" t="s">
        <v>808</v>
      </c>
    </row>
    <row r="470" spans="3:3">
      <c r="C470" t="s">
        <v>753</v>
      </c>
    </row>
    <row r="471" spans="3:3">
      <c r="C471" t="s">
        <v>809</v>
      </c>
    </row>
    <row r="472" spans="3:3">
      <c r="C472" t="s">
        <v>381</v>
      </c>
    </row>
    <row r="474" spans="3:3">
      <c r="C474" t="s">
        <v>810</v>
      </c>
    </row>
    <row r="475" spans="3:3">
      <c r="C475" t="s">
        <v>753</v>
      </c>
    </row>
    <row r="476" spans="3:3">
      <c r="C476" t="s">
        <v>811</v>
      </c>
    </row>
    <row r="477" spans="3:3">
      <c r="C477" t="s">
        <v>381</v>
      </c>
    </row>
    <row r="479" spans="3:3">
      <c r="C479" t="s">
        <v>812</v>
      </c>
    </row>
    <row r="480" spans="3:3">
      <c r="C480" t="s">
        <v>753</v>
      </c>
    </row>
    <row r="481" spans="3:3">
      <c r="C481" t="s">
        <v>813</v>
      </c>
    </row>
    <row r="482" spans="3:3">
      <c r="C482" t="s">
        <v>381</v>
      </c>
    </row>
    <row r="484" spans="3:3">
      <c r="C484" t="s">
        <v>814</v>
      </c>
    </row>
    <row r="485" spans="3:3">
      <c r="C485" t="s">
        <v>753</v>
      </c>
    </row>
    <row r="486" spans="3:3">
      <c r="C486" t="s">
        <v>815</v>
      </c>
    </row>
    <row r="487" spans="3:3">
      <c r="C487" t="s">
        <v>381</v>
      </c>
    </row>
    <row r="489" spans="3:3">
      <c r="C489" t="s">
        <v>816</v>
      </c>
    </row>
    <row r="490" spans="3:3">
      <c r="C490" t="s">
        <v>753</v>
      </c>
    </row>
    <row r="491" spans="3:3">
      <c r="C491" t="s">
        <v>817</v>
      </c>
    </row>
    <row r="492" spans="3:3">
      <c r="C492" t="s">
        <v>381</v>
      </c>
    </row>
    <row r="494" spans="3:3">
      <c r="C494" t="s">
        <v>818</v>
      </c>
    </row>
    <row r="495" spans="3:3">
      <c r="C495" t="s">
        <v>753</v>
      </c>
    </row>
    <row r="496" spans="3:3">
      <c r="C496" t="s">
        <v>819</v>
      </c>
    </row>
    <row r="497" spans="3:3">
      <c r="C497" t="s">
        <v>381</v>
      </c>
    </row>
    <row r="499" spans="3:3">
      <c r="C499" t="s">
        <v>820</v>
      </c>
    </row>
    <row r="500" spans="3:3">
      <c r="C500" t="s">
        <v>753</v>
      </c>
    </row>
    <row r="501" spans="3:3">
      <c r="C501" t="s">
        <v>821</v>
      </c>
    </row>
    <row r="502" spans="3:3">
      <c r="C502" t="s">
        <v>381</v>
      </c>
    </row>
    <row r="504" spans="3:3">
      <c r="C504" t="s">
        <v>822</v>
      </c>
    </row>
    <row r="505" spans="3:3">
      <c r="C505" t="s">
        <v>753</v>
      </c>
    </row>
    <row r="506" spans="3:3">
      <c r="C506" t="s">
        <v>823</v>
      </c>
    </row>
    <row r="507" spans="3:3">
      <c r="C507" t="s">
        <v>381</v>
      </c>
    </row>
    <row r="509" spans="3:3">
      <c r="C509" t="s">
        <v>324</v>
      </c>
    </row>
    <row r="511" spans="3:3">
      <c r="C511" t="s">
        <v>824</v>
      </c>
    </row>
    <row r="512" spans="3:3">
      <c r="C512" t="s">
        <v>753</v>
      </c>
    </row>
    <row r="513" spans="3:3">
      <c r="C513" t="s">
        <v>825</v>
      </c>
    </row>
    <row r="514" spans="3:3">
      <c r="C514" t="s">
        <v>381</v>
      </c>
    </row>
    <row r="516" spans="3:3">
      <c r="C516" t="s">
        <v>324</v>
      </c>
    </row>
    <row r="519" spans="3:3">
      <c r="C519" t="s">
        <v>826</v>
      </c>
    </row>
    <row r="520" spans="3:3">
      <c r="C520" t="s">
        <v>324</v>
      </c>
    </row>
    <row r="522" spans="3:3">
      <c r="C522" t="s">
        <v>827</v>
      </c>
    </row>
    <row r="523" spans="3:3">
      <c r="C523" t="s">
        <v>594</v>
      </c>
    </row>
    <row r="524" spans="3:3">
      <c r="C524" t="s">
        <v>595</v>
      </c>
    </row>
    <row r="525" spans="3:3">
      <c r="C525" s="65" t="s">
        <v>828</v>
      </c>
    </row>
    <row r="526" spans="3:3">
      <c r="C526" t="s">
        <v>829</v>
      </c>
    </row>
    <row r="527" spans="3:3">
      <c r="C527" s="65" t="s">
        <v>830</v>
      </c>
    </row>
    <row r="528" spans="3:3">
      <c r="C528" t="s">
        <v>831</v>
      </c>
    </row>
    <row r="530" spans="3:3">
      <c r="C530" t="s">
        <v>832</v>
      </c>
    </row>
    <row r="532" spans="3:3">
      <c r="C532" t="s">
        <v>324</v>
      </c>
    </row>
    <row r="536" spans="3:3">
      <c r="C536" t="s">
        <v>324</v>
      </c>
    </row>
    <row r="538" spans="3:3">
      <c r="C538" t="s">
        <v>833</v>
      </c>
    </row>
    <row r="539" spans="3:3">
      <c r="C539" t="s">
        <v>594</v>
      </c>
    </row>
    <row r="540" spans="3:3">
      <c r="C540" t="s">
        <v>595</v>
      </c>
    </row>
    <row r="541" spans="3:3">
      <c r="C541" t="s">
        <v>603</v>
      </c>
    </row>
    <row r="542" spans="3:3">
      <c r="C542" t="s">
        <v>834</v>
      </c>
    </row>
    <row r="543" spans="3:3">
      <c r="C543" t="s">
        <v>835</v>
      </c>
    </row>
    <row r="545" spans="3:3">
      <c r="C545" t="s">
        <v>324</v>
      </c>
    </row>
    <row r="547" spans="3:3">
      <c r="C547" t="s">
        <v>324</v>
      </c>
    </row>
    <row r="549" spans="3:3">
      <c r="C549" t="s">
        <v>836</v>
      </c>
    </row>
    <row r="550" spans="3:3">
      <c r="C550" t="s">
        <v>594</v>
      </c>
    </row>
    <row r="551" spans="3:3">
      <c r="C551" t="s">
        <v>595</v>
      </c>
    </row>
    <row r="552" spans="3:3">
      <c r="C552" t="s">
        <v>837</v>
      </c>
    </row>
    <row r="553" spans="3:3">
      <c r="C553" t="s">
        <v>838</v>
      </c>
    </row>
    <row r="554" spans="3:3">
      <c r="C554" t="s">
        <v>612</v>
      </c>
    </row>
    <row r="555" spans="3:3">
      <c r="C555" t="s">
        <v>839</v>
      </c>
    </row>
    <row r="557" spans="3:3">
      <c r="C557" t="s">
        <v>324</v>
      </c>
    </row>
    <row r="559" spans="3:3">
      <c r="C559" t="s">
        <v>840</v>
      </c>
    </row>
    <row r="560" spans="3:3">
      <c r="C560" t="s">
        <v>594</v>
      </c>
    </row>
    <row r="561" spans="3:3">
      <c r="C561" t="s">
        <v>595</v>
      </c>
    </row>
    <row r="562" spans="3:3">
      <c r="C562" t="s">
        <v>841</v>
      </c>
    </row>
    <row r="563" spans="3:3">
      <c r="C563" t="s">
        <v>842</v>
      </c>
    </row>
    <row r="565" spans="3:3">
      <c r="C565" t="s">
        <v>324</v>
      </c>
    </row>
    <row r="567" spans="3:3">
      <c r="C567" t="s">
        <v>843</v>
      </c>
    </row>
    <row r="568" spans="3:3">
      <c r="C568" t="s">
        <v>594</v>
      </c>
    </row>
    <row r="569" spans="3:3">
      <c r="C569" t="s">
        <v>595</v>
      </c>
    </row>
    <row r="570" spans="3:3">
      <c r="C570" t="s">
        <v>844</v>
      </c>
    </row>
    <row r="571" spans="3:3">
      <c r="C571" t="s">
        <v>845</v>
      </c>
    </row>
    <row r="573" spans="3:3">
      <c r="C573" t="s">
        <v>324</v>
      </c>
    </row>
    <row r="575" spans="3:3">
      <c r="C575" t="s">
        <v>846</v>
      </c>
    </row>
    <row r="578" spans="3:3">
      <c r="C578" s="65" t="s">
        <v>890</v>
      </c>
    </row>
    <row r="582" spans="3:3" ht="22.8">
      <c r="C582" s="68" t="s">
        <v>891</v>
      </c>
    </row>
    <row r="583" spans="3:3">
      <c r="C583" s="66"/>
    </row>
    <row r="584" spans="3:3">
      <c r="C584" s="97" t="s">
        <v>892</v>
      </c>
    </row>
    <row r="585" spans="3:3">
      <c r="C585" s="66"/>
    </row>
    <row r="586" spans="3:3">
      <c r="C586" s="66"/>
    </row>
    <row r="587" spans="3:3">
      <c r="C587" s="98" t="s">
        <v>893</v>
      </c>
    </row>
    <row r="588" spans="3:3">
      <c r="C588" s="66"/>
    </row>
    <row r="589" spans="3:3">
      <c r="C589" s="97" t="s">
        <v>894</v>
      </c>
    </row>
    <row r="590" spans="3:3">
      <c r="C590" s="66"/>
    </row>
    <row r="591" spans="3:3">
      <c r="C591" s="66"/>
    </row>
    <row r="592" spans="3:3">
      <c r="C592" s="98" t="s">
        <v>895</v>
      </c>
    </row>
    <row r="593" spans="3:3">
      <c r="C593" s="66"/>
    </row>
    <row r="594" spans="3:3">
      <c r="C594" s="97" t="s">
        <v>896</v>
      </c>
    </row>
    <row r="595" spans="3:3">
      <c r="C595" s="66"/>
    </row>
    <row r="596" spans="3:3">
      <c r="C596" s="66"/>
    </row>
    <row r="597" spans="3:3">
      <c r="C597" s="98" t="s">
        <v>897</v>
      </c>
    </row>
    <row r="598" spans="3:3">
      <c r="C598" s="66"/>
    </row>
    <row r="599" spans="3:3">
      <c r="C599" s="97" t="s">
        <v>898</v>
      </c>
    </row>
    <row r="600" spans="3:3">
      <c r="C600" s="66"/>
    </row>
    <row r="601" spans="3:3">
      <c r="C601" s="66"/>
    </row>
    <row r="602" spans="3:3">
      <c r="C602" s="98" t="s">
        <v>899</v>
      </c>
    </row>
    <row r="603" spans="3:3">
      <c r="C603" s="66"/>
    </row>
    <row r="604" spans="3:3">
      <c r="C604" s="97" t="s">
        <v>900</v>
      </c>
    </row>
    <row r="605" spans="3:3">
      <c r="C605" s="66"/>
    </row>
    <row r="606" spans="3:3">
      <c r="C606" s="66"/>
    </row>
    <row r="607" spans="3:3">
      <c r="C607" s="98" t="s">
        <v>901</v>
      </c>
    </row>
    <row r="608" spans="3:3">
      <c r="C608" s="66"/>
    </row>
    <row r="609" spans="2:3">
      <c r="C609" s="97" t="s">
        <v>902</v>
      </c>
    </row>
    <row r="610" spans="2:3">
      <c r="C610" s="66"/>
    </row>
    <row r="611" spans="2:3">
      <c r="C611" s="66"/>
    </row>
    <row r="612" spans="2:3">
      <c r="C612" s="98" t="s">
        <v>903</v>
      </c>
    </row>
    <row r="613" spans="2:3">
      <c r="C613" s="66"/>
    </row>
    <row r="614" spans="2:3">
      <c r="C614" s="97" t="s">
        <v>904</v>
      </c>
    </row>
    <row r="615" spans="2:3">
      <c r="C615" s="66"/>
    </row>
    <row r="616" spans="2:3">
      <c r="C616" s="66"/>
    </row>
    <row r="617" spans="2:3">
      <c r="C617" s="98" t="s">
        <v>905</v>
      </c>
    </row>
    <row r="621" spans="2:3">
      <c r="C621" s="65" t="s">
        <v>906</v>
      </c>
    </row>
    <row r="624" spans="2:3">
      <c r="B624" s="65" t="s">
        <v>907</v>
      </c>
    </row>
    <row r="628" spans="2:16" ht="22.8">
      <c r="B628" s="68" t="s">
        <v>908</v>
      </c>
    </row>
    <row r="630" spans="2:16" ht="66">
      <c r="B630" s="69" t="s">
        <v>909</v>
      </c>
      <c r="C630" s="69" t="s">
        <v>910</v>
      </c>
      <c r="D630" s="69" t="s">
        <v>911</v>
      </c>
      <c r="E630" s="69" t="s">
        <v>912</v>
      </c>
    </row>
    <row r="631" spans="2:16" ht="264.60000000000002" customHeight="1">
      <c r="B631" s="99" t="s">
        <v>913</v>
      </c>
      <c r="C631" s="71" t="s">
        <v>914</v>
      </c>
      <c r="D631" s="71" t="s">
        <v>915</v>
      </c>
      <c r="E631" s="100" t="s">
        <v>916</v>
      </c>
      <c r="F631" s="110" t="s">
        <v>959</v>
      </c>
      <c r="G631" s="110"/>
      <c r="H631" s="109" t="s">
        <v>951</v>
      </c>
      <c r="I631" s="108"/>
      <c r="J631" s="108"/>
      <c r="K631" s="108"/>
      <c r="L631" s="108"/>
      <c r="M631" s="108"/>
      <c r="N631" s="108"/>
      <c r="O631" s="108"/>
      <c r="P631" s="108"/>
    </row>
    <row r="632" spans="2:16" ht="196.2" customHeight="1">
      <c r="B632" s="99" t="s">
        <v>917</v>
      </c>
      <c r="C632" s="71" t="s">
        <v>918</v>
      </c>
      <c r="D632" s="71" t="s">
        <v>919</v>
      </c>
      <c r="E632" s="100" t="s">
        <v>920</v>
      </c>
      <c r="F632" s="110" t="s">
        <v>1015</v>
      </c>
      <c r="G632" s="111"/>
      <c r="H632" s="109" t="s">
        <v>950</v>
      </c>
      <c r="I632" s="108"/>
      <c r="J632" s="108"/>
      <c r="K632" s="108"/>
      <c r="L632" s="108"/>
      <c r="M632" s="108"/>
      <c r="N632" s="108"/>
      <c r="O632" s="108"/>
      <c r="P632" s="108"/>
    </row>
    <row r="633" spans="2:16" ht="235.2" customHeight="1">
      <c r="B633" s="99" t="s">
        <v>921</v>
      </c>
      <c r="C633" s="71" t="s">
        <v>922</v>
      </c>
      <c r="D633" s="71" t="s">
        <v>923</v>
      </c>
      <c r="E633" s="100" t="s">
        <v>924</v>
      </c>
      <c r="F633" s="110" t="s">
        <v>960</v>
      </c>
      <c r="G633" s="111"/>
      <c r="H633" s="109" t="s">
        <v>952</v>
      </c>
      <c r="I633" s="108"/>
      <c r="J633" s="108"/>
      <c r="K633" s="108"/>
      <c r="L633" s="108"/>
      <c r="M633" s="108"/>
      <c r="N633" s="108"/>
      <c r="O633" s="108"/>
      <c r="P633" s="108"/>
    </row>
    <row r="634" spans="2:16" ht="228" customHeight="1">
      <c r="B634" s="99" t="s">
        <v>925</v>
      </c>
      <c r="C634" s="71" t="s">
        <v>926</v>
      </c>
      <c r="D634" s="71" t="s">
        <v>927</v>
      </c>
      <c r="E634" s="100" t="s">
        <v>928</v>
      </c>
      <c r="F634" s="110" t="s">
        <v>961</v>
      </c>
      <c r="G634" s="111"/>
      <c r="H634" s="109" t="s">
        <v>953</v>
      </c>
      <c r="I634" s="108"/>
      <c r="J634" s="108"/>
      <c r="K634" s="108"/>
      <c r="L634" s="108"/>
      <c r="M634" s="108"/>
      <c r="N634" s="108"/>
      <c r="O634" s="108"/>
      <c r="P634" s="108"/>
    </row>
    <row r="635" spans="2:16" ht="151.19999999999999" customHeight="1">
      <c r="B635" s="99" t="s">
        <v>929</v>
      </c>
      <c r="C635" s="71" t="s">
        <v>930</v>
      </c>
      <c r="D635" s="71" t="s">
        <v>931</v>
      </c>
      <c r="E635" s="100" t="s">
        <v>932</v>
      </c>
      <c r="F635" s="110" t="s">
        <v>962</v>
      </c>
      <c r="G635" s="111"/>
      <c r="H635" s="109" t="s">
        <v>954</v>
      </c>
      <c r="I635" s="108"/>
      <c r="J635" s="108"/>
      <c r="K635" s="108"/>
      <c r="L635" s="108"/>
      <c r="M635" s="108"/>
      <c r="N635" s="108"/>
      <c r="O635" s="108"/>
      <c r="P635" s="108"/>
    </row>
    <row r="636" spans="2:16" ht="166.8" customHeight="1">
      <c r="B636" s="99" t="s">
        <v>933</v>
      </c>
      <c r="C636" s="71" t="s">
        <v>934</v>
      </c>
      <c r="D636" s="71" t="s">
        <v>935</v>
      </c>
      <c r="E636" s="100" t="s">
        <v>936</v>
      </c>
      <c r="F636" s="110" t="s">
        <v>963</v>
      </c>
      <c r="G636" s="111"/>
      <c r="H636" s="109" t="s">
        <v>955</v>
      </c>
      <c r="I636" s="108"/>
      <c r="J636" s="108"/>
      <c r="K636" s="108"/>
      <c r="L636" s="108"/>
      <c r="M636" s="108"/>
      <c r="N636" s="108"/>
      <c r="O636" s="108"/>
      <c r="P636" s="108"/>
    </row>
    <row r="637" spans="2:16" ht="214.2" customHeight="1">
      <c r="B637" s="99" t="s">
        <v>937</v>
      </c>
      <c r="C637" s="71" t="s">
        <v>938</v>
      </c>
      <c r="D637" s="71" t="s">
        <v>939</v>
      </c>
      <c r="E637" s="71" t="s">
        <v>940</v>
      </c>
      <c r="F637" s="110" t="s">
        <v>964</v>
      </c>
      <c r="G637" s="111"/>
      <c r="H637" s="107" t="s">
        <v>956</v>
      </c>
      <c r="I637" s="108"/>
      <c r="J637" s="108"/>
      <c r="K637" s="108"/>
      <c r="L637" s="108"/>
      <c r="M637" s="108"/>
      <c r="N637" s="108"/>
      <c r="O637" s="108"/>
      <c r="P637" s="108"/>
    </row>
    <row r="638" spans="2:16" ht="221.4" customHeight="1">
      <c r="B638" s="99" t="s">
        <v>941</v>
      </c>
      <c r="C638" s="71" t="s">
        <v>942</v>
      </c>
      <c r="D638" s="71" t="s">
        <v>943</v>
      </c>
      <c r="E638" s="100" t="s">
        <v>944</v>
      </c>
      <c r="F638" s="110" t="s">
        <v>958</v>
      </c>
      <c r="G638" s="110"/>
      <c r="H638" s="109" t="s">
        <v>957</v>
      </c>
      <c r="I638" s="108"/>
      <c r="J638" s="108"/>
      <c r="K638" s="108"/>
      <c r="L638" s="108"/>
      <c r="M638" s="108"/>
      <c r="N638" s="108"/>
      <c r="O638" s="108"/>
      <c r="P638" s="108"/>
    </row>
    <row r="641" spans="2:2" ht="22.8">
      <c r="B641" s="68" t="s">
        <v>945</v>
      </c>
    </row>
    <row r="642" spans="2:2">
      <c r="B642" s="66"/>
    </row>
    <row r="643" spans="2:2">
      <c r="B643" s="67" t="s">
        <v>946</v>
      </c>
    </row>
    <row r="644" spans="2:2">
      <c r="B644" s="67" t="s">
        <v>947</v>
      </c>
    </row>
    <row r="645" spans="2:2">
      <c r="B645" s="67" t="s">
        <v>948</v>
      </c>
    </row>
    <row r="649" spans="2:2">
      <c r="B649" s="65" t="s">
        <v>949</v>
      </c>
    </row>
    <row r="651" spans="2:2" s="72" customFormat="1">
      <c r="B651" s="117" t="s">
        <v>965</v>
      </c>
    </row>
    <row r="655" spans="2:2" ht="22.8">
      <c r="B655" s="68" t="s">
        <v>966</v>
      </c>
    </row>
    <row r="657" spans="2:2">
      <c r="B657" s="96" t="s">
        <v>967</v>
      </c>
    </row>
    <row r="658" spans="2:2">
      <c r="B658" s="96" t="s">
        <v>968</v>
      </c>
    </row>
    <row r="659" spans="2:2">
      <c r="B659" s="96" t="s">
        <v>969</v>
      </c>
    </row>
    <row r="660" spans="2:2">
      <c r="B660" s="96" t="s">
        <v>970</v>
      </c>
    </row>
    <row r="661" spans="2:2">
      <c r="B661" s="96" t="s">
        <v>971</v>
      </c>
    </row>
    <row r="662" spans="2:2">
      <c r="B662" s="96" t="s">
        <v>972</v>
      </c>
    </row>
    <row r="663" spans="2:2">
      <c r="B663" s="96" t="s">
        <v>885</v>
      </c>
    </row>
    <row r="667" spans="2:2" ht="22.8">
      <c r="B667" s="68" t="s">
        <v>973</v>
      </c>
    </row>
    <row r="669" spans="2:2" ht="17.399999999999999">
      <c r="B669" s="116" t="s">
        <v>974</v>
      </c>
    </row>
    <row r="670" spans="2:2">
      <c r="B670" s="66"/>
    </row>
    <row r="671" spans="2:2">
      <c r="B671" s="67" t="s">
        <v>975</v>
      </c>
    </row>
    <row r="672" spans="2:2">
      <c r="B672" s="67" t="s">
        <v>976</v>
      </c>
    </row>
    <row r="674" spans="2:4" ht="17.399999999999999">
      <c r="B674" s="116" t="s">
        <v>977</v>
      </c>
    </row>
    <row r="675" spans="2:4">
      <c r="B675" s="66"/>
    </row>
    <row r="676" spans="2:4">
      <c r="B676" s="67" t="s">
        <v>978</v>
      </c>
    </row>
    <row r="677" spans="2:4">
      <c r="B677" s="67" t="s">
        <v>979</v>
      </c>
    </row>
    <row r="679" spans="2:4" ht="17.399999999999999">
      <c r="B679" s="116" t="s">
        <v>980</v>
      </c>
    </row>
    <row r="680" spans="2:4">
      <c r="B680" s="66"/>
    </row>
    <row r="681" spans="2:4">
      <c r="B681" s="67" t="s">
        <v>981</v>
      </c>
    </row>
    <row r="682" spans="2:4">
      <c r="B682" s="67" t="s">
        <v>982</v>
      </c>
    </row>
    <row r="686" spans="2:4" ht="22.8">
      <c r="B686" s="68" t="s">
        <v>983</v>
      </c>
    </row>
    <row r="688" spans="2:4" ht="66">
      <c r="B688" s="69" t="s">
        <v>984</v>
      </c>
      <c r="C688" s="69" t="s">
        <v>985</v>
      </c>
      <c r="D688" s="69" t="s">
        <v>986</v>
      </c>
    </row>
    <row r="689" spans="2:4" ht="26.4">
      <c r="B689" s="71" t="s">
        <v>987</v>
      </c>
      <c r="C689" s="71" t="s">
        <v>988</v>
      </c>
      <c r="D689" s="71" t="s">
        <v>989</v>
      </c>
    </row>
    <row r="690" spans="2:4" ht="52.8">
      <c r="B690" s="71" t="s">
        <v>990</v>
      </c>
      <c r="C690" s="71" t="s">
        <v>991</v>
      </c>
      <c r="D690" s="71" t="s">
        <v>992</v>
      </c>
    </row>
    <row r="691" spans="2:4" ht="52.8">
      <c r="B691" s="71" t="s">
        <v>993</v>
      </c>
      <c r="C691" s="71" t="s">
        <v>994</v>
      </c>
      <c r="D691" s="71" t="s">
        <v>995</v>
      </c>
    </row>
    <row r="692" spans="2:4" ht="79.2">
      <c r="B692" s="71" t="s">
        <v>996</v>
      </c>
      <c r="C692" s="71" t="s">
        <v>997</v>
      </c>
      <c r="D692" s="71" t="s">
        <v>998</v>
      </c>
    </row>
    <row r="695" spans="2:4" ht="22.8">
      <c r="B695" s="68" t="s">
        <v>999</v>
      </c>
    </row>
    <row r="697" spans="2:4">
      <c r="B697" s="65" t="s">
        <v>1000</v>
      </c>
    </row>
    <row r="699" spans="2:4">
      <c r="B699" s="96" t="s">
        <v>1001</v>
      </c>
    </row>
    <row r="700" spans="2:4">
      <c r="B700" s="96" t="s">
        <v>1002</v>
      </c>
    </row>
    <row r="701" spans="2:4">
      <c r="B701" s="96" t="s">
        <v>1003</v>
      </c>
    </row>
    <row r="702" spans="2:4">
      <c r="B702" s="96" t="s">
        <v>970</v>
      </c>
    </row>
    <row r="703" spans="2:4">
      <c r="B703" s="96" t="s">
        <v>971</v>
      </c>
    </row>
    <row r="704" spans="2:4">
      <c r="B704" s="115"/>
    </row>
    <row r="705" spans="2:2">
      <c r="B705" s="96" t="s">
        <v>1004</v>
      </c>
    </row>
    <row r="706" spans="2:2">
      <c r="B706" s="96" t="s">
        <v>1005</v>
      </c>
    </row>
    <row r="707" spans="2:2">
      <c r="B707" s="96" t="s">
        <v>970</v>
      </c>
    </row>
    <row r="708" spans="2:2">
      <c r="B708" s="96" t="s">
        <v>971</v>
      </c>
    </row>
    <row r="709" spans="2:2">
      <c r="B709" s="115"/>
    </row>
    <row r="710" spans="2:2">
      <c r="B710" s="96" t="s">
        <v>1006</v>
      </c>
    </row>
    <row r="711" spans="2:2">
      <c r="B711" s="96" t="s">
        <v>1007</v>
      </c>
    </row>
    <row r="712" spans="2:2">
      <c r="B712" s="96" t="s">
        <v>970</v>
      </c>
    </row>
    <row r="713" spans="2:2">
      <c r="B713" s="96" t="s">
        <v>971</v>
      </c>
    </row>
    <row r="714" spans="2:2">
      <c r="B714" s="115"/>
    </row>
    <row r="715" spans="2:2">
      <c r="B715" s="96" t="s">
        <v>972</v>
      </c>
    </row>
    <row r="716" spans="2:2">
      <c r="B716" s="96" t="s">
        <v>885</v>
      </c>
    </row>
    <row r="720" spans="2:2" ht="22.8">
      <c r="B720" s="68" t="s">
        <v>1008</v>
      </c>
    </row>
    <row r="722" spans="2:2">
      <c r="B722" s="65" t="s">
        <v>1009</v>
      </c>
    </row>
    <row r="723" spans="2:2">
      <c r="B723" s="65" t="s">
        <v>1010</v>
      </c>
    </row>
    <row r="724" spans="2:2">
      <c r="B724" s="66"/>
    </row>
    <row r="725" spans="2:2">
      <c r="B725" s="97" t="s">
        <v>1011</v>
      </c>
    </row>
    <row r="726" spans="2:2">
      <c r="B726" s="97" t="s">
        <v>1012</v>
      </c>
    </row>
    <row r="727" spans="2:2">
      <c r="B727" s="97" t="s">
        <v>1013</v>
      </c>
    </row>
    <row r="731" spans="2:2">
      <c r="B731" s="65" t="s">
        <v>1014</v>
      </c>
    </row>
  </sheetData>
  <mergeCells count="16">
    <mergeCell ref="H637:P637"/>
    <mergeCell ref="H638:P638"/>
    <mergeCell ref="F638:G638"/>
    <mergeCell ref="F631:G631"/>
    <mergeCell ref="F632:G632"/>
    <mergeCell ref="F633:G633"/>
    <mergeCell ref="F634:G634"/>
    <mergeCell ref="F635:G635"/>
    <mergeCell ref="F636:G636"/>
    <mergeCell ref="F637:G637"/>
    <mergeCell ref="H631:P631"/>
    <mergeCell ref="H632:P632"/>
    <mergeCell ref="H633:P633"/>
    <mergeCell ref="H634:P634"/>
    <mergeCell ref="H635:P635"/>
    <mergeCell ref="H636:P63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cols>
    <col min="1" max="1" width="57.6640625" customWidth="1"/>
    <col min="3" max="3" width="17.6640625" customWidth="1"/>
  </cols>
  <sheetData>
    <row r="1" spans="1:26">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c r="A2" s="48" t="s">
        <v>201</v>
      </c>
      <c r="B2" s="49" t="s">
        <v>202</v>
      </c>
      <c r="C2" s="49" t="s">
        <v>203</v>
      </c>
      <c r="D2" s="47"/>
      <c r="E2" s="47"/>
      <c r="F2" s="47"/>
      <c r="G2" s="47"/>
      <c r="H2" s="47"/>
      <c r="I2" s="47"/>
      <c r="J2" s="47"/>
      <c r="K2" s="47"/>
      <c r="L2" s="47"/>
      <c r="M2" s="47"/>
      <c r="N2" s="47"/>
      <c r="O2" s="47"/>
      <c r="P2" s="47"/>
      <c r="Q2" s="47"/>
      <c r="R2" s="47"/>
      <c r="S2" s="47"/>
      <c r="T2" s="47"/>
      <c r="U2" s="47"/>
      <c r="V2" s="47"/>
      <c r="W2" s="47"/>
      <c r="X2" s="47"/>
      <c r="Y2" s="47"/>
      <c r="Z2" s="47"/>
    </row>
    <row r="3" spans="1:26">
      <c r="A3" s="50" t="s">
        <v>204</v>
      </c>
      <c r="B3" s="50" t="s">
        <v>205</v>
      </c>
      <c r="C3" s="49" t="s">
        <v>206</v>
      </c>
      <c r="D3" s="47"/>
      <c r="E3" s="47"/>
      <c r="F3" s="47"/>
      <c r="G3" s="47"/>
      <c r="H3" s="47"/>
      <c r="I3" s="47"/>
      <c r="J3" s="47"/>
      <c r="K3" s="47"/>
      <c r="L3" s="47"/>
      <c r="M3" s="47"/>
      <c r="N3" s="47"/>
      <c r="O3" s="47"/>
      <c r="P3" s="47"/>
      <c r="Q3" s="47"/>
      <c r="R3" s="47"/>
      <c r="S3" s="47"/>
      <c r="T3" s="47"/>
      <c r="U3" s="47"/>
      <c r="V3" s="47"/>
      <c r="W3" s="47"/>
      <c r="X3" s="47"/>
      <c r="Y3" s="47"/>
      <c r="Z3" s="47"/>
    </row>
    <row r="4" spans="1:26">
      <c r="A4" s="51" t="s">
        <v>207</v>
      </c>
      <c r="B4" s="49" t="s">
        <v>202</v>
      </c>
      <c r="C4" s="47"/>
      <c r="D4" s="47"/>
      <c r="E4" s="47"/>
      <c r="F4" s="47"/>
      <c r="G4" s="47"/>
      <c r="H4" s="47"/>
      <c r="I4" s="47"/>
      <c r="J4" s="47"/>
      <c r="K4" s="47"/>
      <c r="L4" s="47"/>
      <c r="M4" s="47"/>
      <c r="N4" s="47"/>
      <c r="O4" s="47"/>
      <c r="P4" s="47"/>
      <c r="Q4" s="47"/>
      <c r="R4" s="47"/>
      <c r="S4" s="47"/>
      <c r="T4" s="47"/>
      <c r="U4" s="47"/>
      <c r="V4" s="47"/>
      <c r="W4" s="47"/>
      <c r="X4" s="47"/>
      <c r="Y4" s="47"/>
      <c r="Z4" s="47"/>
    </row>
    <row r="5" spans="1:26">
      <c r="A5" s="52" t="s">
        <v>208</v>
      </c>
      <c r="B5" s="47"/>
      <c r="C5" s="47"/>
      <c r="D5" s="47"/>
      <c r="E5" s="47"/>
      <c r="F5" s="47"/>
      <c r="G5" s="47"/>
      <c r="H5" s="47"/>
      <c r="I5" s="47"/>
      <c r="J5" s="47"/>
      <c r="K5" s="47"/>
      <c r="L5" s="47"/>
      <c r="M5" s="47"/>
      <c r="N5" s="47"/>
      <c r="O5" s="47"/>
      <c r="P5" s="47"/>
      <c r="Q5" s="47"/>
      <c r="R5" s="47"/>
      <c r="S5" s="47"/>
      <c r="T5" s="47"/>
      <c r="U5" s="47"/>
      <c r="V5" s="47"/>
      <c r="W5" s="47"/>
      <c r="X5" s="47"/>
      <c r="Y5" s="47"/>
      <c r="Z5" s="47"/>
    </row>
    <row r="6" spans="1:26">
      <c r="A6" s="49" t="s">
        <v>209</v>
      </c>
      <c r="B6" s="49" t="s">
        <v>202</v>
      </c>
      <c r="C6" s="47"/>
      <c r="D6" s="47"/>
      <c r="E6" s="47"/>
      <c r="F6" s="47"/>
      <c r="G6" s="47"/>
      <c r="H6" s="47"/>
      <c r="I6" s="47"/>
      <c r="J6" s="47"/>
      <c r="K6" s="47"/>
      <c r="L6" s="47"/>
      <c r="M6" s="47"/>
      <c r="N6" s="47"/>
      <c r="O6" s="47"/>
      <c r="P6" s="47"/>
      <c r="Q6" s="47"/>
      <c r="R6" s="47"/>
      <c r="S6" s="47"/>
      <c r="T6" s="47"/>
      <c r="U6" s="47"/>
      <c r="V6" s="47"/>
      <c r="W6" s="47"/>
      <c r="X6" s="47"/>
      <c r="Y6" s="47"/>
      <c r="Z6" s="47"/>
    </row>
    <row r="7" spans="1:26">
      <c r="A7" s="47"/>
      <c r="B7" s="47"/>
      <c r="C7" s="47"/>
      <c r="D7" s="47"/>
      <c r="E7" s="47"/>
      <c r="F7" s="47"/>
      <c r="G7" s="47"/>
      <c r="H7" s="47"/>
      <c r="I7" s="47"/>
      <c r="J7" s="47"/>
      <c r="K7" s="47"/>
      <c r="L7" s="47"/>
      <c r="M7" s="47"/>
      <c r="N7" s="47"/>
      <c r="O7" s="47"/>
      <c r="P7" s="47"/>
      <c r="Q7" s="47"/>
      <c r="R7" s="47"/>
      <c r="S7" s="47"/>
      <c r="T7" s="47"/>
      <c r="U7" s="47"/>
      <c r="V7" s="47"/>
      <c r="W7" s="47"/>
      <c r="X7" s="47"/>
      <c r="Y7" s="47"/>
      <c r="Z7" s="47"/>
    </row>
    <row r="8" spans="1:26">
      <c r="A8" s="47"/>
      <c r="B8" s="47"/>
      <c r="C8" s="47"/>
      <c r="D8" s="47"/>
      <c r="E8" s="47"/>
      <c r="F8" s="47"/>
      <c r="G8" s="47"/>
      <c r="H8" s="47"/>
      <c r="I8" s="47"/>
      <c r="J8" s="47"/>
      <c r="K8" s="47"/>
      <c r="L8" s="47"/>
      <c r="M8" s="47"/>
      <c r="N8" s="47"/>
      <c r="O8" s="47"/>
      <c r="P8" s="47"/>
      <c r="Q8" s="47"/>
      <c r="R8" s="47"/>
      <c r="S8" s="47"/>
      <c r="T8" s="47"/>
      <c r="U8" s="47"/>
      <c r="V8" s="47"/>
      <c r="W8" s="47"/>
      <c r="X8" s="47"/>
      <c r="Y8" s="47"/>
      <c r="Z8" s="47"/>
    </row>
    <row r="9" spans="1:26">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cols>
    <col min="1" max="1" width="16.44140625" customWidth="1"/>
    <col min="2" max="2" width="58.77734375" customWidth="1"/>
  </cols>
  <sheetData>
    <row r="1" spans="1:26">
      <c r="A1" s="53" t="s">
        <v>210</v>
      </c>
      <c r="B1" s="53" t="s">
        <v>211</v>
      </c>
      <c r="C1" s="54"/>
      <c r="D1" s="54"/>
      <c r="E1" s="54"/>
      <c r="F1" s="54"/>
      <c r="G1" s="54"/>
      <c r="H1" s="54"/>
      <c r="I1" s="54"/>
      <c r="J1" s="54"/>
      <c r="K1" s="54"/>
      <c r="L1" s="54"/>
      <c r="M1" s="54"/>
      <c r="N1" s="54"/>
      <c r="O1" s="54"/>
      <c r="P1" s="54"/>
      <c r="Q1" s="54"/>
      <c r="R1" s="54"/>
      <c r="S1" s="54"/>
      <c r="T1" s="54"/>
      <c r="U1" s="54"/>
      <c r="V1" s="54"/>
      <c r="W1" s="54"/>
      <c r="X1" s="54"/>
      <c r="Y1" s="54"/>
      <c r="Z1" s="54"/>
    </row>
    <row r="2" spans="1:26">
      <c r="A2" s="53" t="s">
        <v>212</v>
      </c>
      <c r="B2" s="55" t="s">
        <v>213</v>
      </c>
      <c r="C2" s="54"/>
      <c r="D2" s="54"/>
      <c r="E2" s="54"/>
      <c r="F2" s="54"/>
      <c r="G2" s="54"/>
      <c r="H2" s="54"/>
      <c r="I2" s="54"/>
      <c r="J2" s="54"/>
      <c r="K2" s="54"/>
      <c r="L2" s="54"/>
      <c r="M2" s="54"/>
      <c r="N2" s="54"/>
      <c r="O2" s="54"/>
      <c r="P2" s="54"/>
      <c r="Q2" s="54"/>
      <c r="R2" s="54"/>
      <c r="S2" s="54"/>
      <c r="T2" s="54"/>
      <c r="U2" s="54"/>
      <c r="V2" s="54"/>
      <c r="W2" s="54"/>
      <c r="X2" s="54"/>
      <c r="Y2" s="54"/>
      <c r="Z2" s="54"/>
    </row>
    <row r="3" spans="1:26">
      <c r="A3" s="53" t="s">
        <v>214</v>
      </c>
      <c r="B3" s="55" t="s">
        <v>215</v>
      </c>
      <c r="C3" s="54"/>
      <c r="D3" s="54"/>
      <c r="E3" s="54"/>
      <c r="F3" s="54"/>
      <c r="G3" s="54"/>
      <c r="H3" s="54"/>
      <c r="I3" s="54"/>
      <c r="J3" s="54"/>
      <c r="K3" s="54"/>
      <c r="L3" s="54"/>
      <c r="M3" s="54"/>
      <c r="N3" s="54"/>
      <c r="O3" s="54"/>
      <c r="P3" s="54"/>
      <c r="Q3" s="54"/>
      <c r="R3" s="54"/>
      <c r="S3" s="54"/>
      <c r="T3" s="54"/>
      <c r="U3" s="54"/>
      <c r="V3" s="54"/>
      <c r="W3" s="54"/>
      <c r="X3" s="54"/>
      <c r="Y3" s="54"/>
      <c r="Z3" s="54"/>
    </row>
    <row r="4" spans="1:26">
      <c r="A4" s="53" t="s">
        <v>216</v>
      </c>
      <c r="B4" s="55" t="s">
        <v>217</v>
      </c>
      <c r="C4" s="54"/>
      <c r="D4" s="54"/>
      <c r="E4" s="54"/>
      <c r="F4" s="54"/>
      <c r="G4" s="54"/>
      <c r="H4" s="54"/>
      <c r="I4" s="54"/>
      <c r="J4" s="54"/>
      <c r="K4" s="54"/>
      <c r="L4" s="54"/>
      <c r="M4" s="54"/>
      <c r="N4" s="54"/>
      <c r="O4" s="54"/>
      <c r="P4" s="54"/>
      <c r="Q4" s="54"/>
      <c r="R4" s="54"/>
      <c r="S4" s="54"/>
      <c r="T4" s="54"/>
      <c r="U4" s="54"/>
      <c r="V4" s="54"/>
      <c r="W4" s="54"/>
      <c r="X4" s="54"/>
      <c r="Y4" s="54"/>
      <c r="Z4" s="54"/>
    </row>
    <row r="5" spans="1:26">
      <c r="A5" s="54"/>
      <c r="B5" s="54"/>
      <c r="C5" s="54"/>
      <c r="D5" s="54"/>
      <c r="E5" s="54"/>
      <c r="F5" s="54"/>
      <c r="G5" s="54"/>
      <c r="H5" s="54"/>
      <c r="I5" s="54"/>
      <c r="J5" s="54"/>
      <c r="K5" s="54"/>
      <c r="L5" s="54"/>
      <c r="M5" s="54"/>
      <c r="N5" s="54"/>
      <c r="O5" s="54"/>
      <c r="P5" s="54"/>
      <c r="Q5" s="54"/>
      <c r="R5" s="54"/>
      <c r="S5" s="54"/>
      <c r="T5" s="54"/>
      <c r="U5" s="54"/>
      <c r="V5" s="54"/>
      <c r="W5" s="54"/>
      <c r="X5" s="54"/>
      <c r="Y5" s="54"/>
      <c r="Z5" s="54"/>
    </row>
    <row r="6" spans="1:26">
      <c r="A6" s="54"/>
      <c r="B6" s="54"/>
      <c r="C6" s="54"/>
      <c r="D6" s="54"/>
      <c r="E6" s="54"/>
      <c r="F6" s="54"/>
      <c r="G6" s="54"/>
      <c r="H6" s="54"/>
      <c r="I6" s="54"/>
      <c r="J6" s="54"/>
      <c r="K6" s="54"/>
      <c r="L6" s="54"/>
      <c r="M6" s="54"/>
      <c r="N6" s="54"/>
      <c r="O6" s="54"/>
      <c r="P6" s="54"/>
      <c r="Q6" s="54"/>
      <c r="R6" s="54"/>
      <c r="S6" s="54"/>
      <c r="T6" s="54"/>
      <c r="U6" s="54"/>
      <c r="V6" s="54"/>
      <c r="W6" s="54"/>
      <c r="X6" s="54"/>
      <c r="Y6" s="54"/>
      <c r="Z6" s="54"/>
    </row>
    <row r="7" spans="1:26">
      <c r="A7" s="54"/>
      <c r="B7" s="54"/>
      <c r="C7" s="54"/>
      <c r="D7" s="54"/>
      <c r="E7" s="54"/>
      <c r="F7" s="54"/>
      <c r="G7" s="54"/>
      <c r="H7" s="54"/>
      <c r="I7" s="54"/>
      <c r="J7" s="54"/>
      <c r="K7" s="54"/>
      <c r="L7" s="54"/>
      <c r="M7" s="54"/>
      <c r="N7" s="54"/>
      <c r="O7" s="54"/>
      <c r="P7" s="54"/>
      <c r="Q7" s="54"/>
      <c r="R7" s="54"/>
      <c r="S7" s="54"/>
      <c r="T7" s="54"/>
      <c r="U7" s="54"/>
      <c r="V7" s="54"/>
      <c r="W7" s="54"/>
      <c r="X7" s="54"/>
      <c r="Y7" s="54"/>
      <c r="Z7" s="54"/>
    </row>
    <row r="8" spans="1:26">
      <c r="A8" s="54"/>
      <c r="B8" s="54"/>
      <c r="C8" s="54"/>
      <c r="D8" s="54"/>
      <c r="E8" s="54"/>
      <c r="F8" s="54"/>
      <c r="G8" s="54"/>
      <c r="H8" s="54"/>
      <c r="I8" s="54"/>
      <c r="J8" s="54"/>
      <c r="K8" s="54"/>
      <c r="L8" s="54"/>
      <c r="M8" s="54"/>
      <c r="N8" s="54"/>
      <c r="O8" s="54"/>
      <c r="P8" s="54"/>
      <c r="Q8" s="54"/>
      <c r="R8" s="54"/>
      <c r="S8" s="54"/>
      <c r="T8" s="54"/>
      <c r="U8" s="54"/>
      <c r="V8" s="54"/>
      <c r="W8" s="54"/>
      <c r="X8" s="54"/>
      <c r="Y8" s="54"/>
      <c r="Z8" s="54"/>
    </row>
    <row r="9" spans="1:26">
      <c r="A9" s="54"/>
      <c r="B9" s="54"/>
      <c r="C9" s="54"/>
      <c r="D9" s="54"/>
      <c r="E9" s="54"/>
      <c r="F9" s="54"/>
      <c r="G9" s="54"/>
      <c r="H9" s="54"/>
      <c r="I9" s="54"/>
      <c r="J9" s="54"/>
      <c r="K9" s="54"/>
      <c r="L9" s="54"/>
      <c r="M9" s="54"/>
      <c r="N9" s="54"/>
      <c r="O9" s="54"/>
      <c r="P9" s="54"/>
      <c r="Q9" s="54"/>
      <c r="R9" s="54"/>
      <c r="S9" s="54"/>
      <c r="T9" s="54"/>
      <c r="U9" s="54"/>
      <c r="V9" s="54"/>
      <c r="W9" s="54"/>
      <c r="X9" s="54"/>
      <c r="Y9" s="54"/>
      <c r="Z9" s="54"/>
    </row>
    <row r="10" spans="1:26">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spans="1:26">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hyperlinks>
    <hyperlink ref="B2" r:id="rId1"/>
    <hyperlink ref="B3" r:id="rId2"/>
    <hyperlink ref="B4" r:id="rId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E1"/>
    </sheetView>
  </sheetViews>
  <sheetFormatPr defaultColWidth="12.6640625" defaultRowHeight="15.75" customHeight="1"/>
  <cols>
    <col min="1" max="5" width="28.44140625" customWidth="1"/>
  </cols>
  <sheetData>
    <row r="1" spans="1:26">
      <c r="A1" s="112" t="s">
        <v>218</v>
      </c>
      <c r="B1" s="113"/>
      <c r="C1" s="113"/>
      <c r="D1" s="113"/>
      <c r="E1" s="114"/>
      <c r="F1" s="56"/>
      <c r="G1" s="56"/>
      <c r="H1" s="56"/>
      <c r="I1" s="56"/>
      <c r="J1" s="56"/>
      <c r="K1" s="54"/>
      <c r="L1" s="54"/>
      <c r="M1" s="54"/>
      <c r="N1" s="54"/>
      <c r="O1" s="54"/>
      <c r="P1" s="54"/>
      <c r="Q1" s="54"/>
      <c r="R1" s="54"/>
      <c r="S1" s="54"/>
      <c r="T1" s="54"/>
      <c r="U1" s="54"/>
      <c r="V1" s="54"/>
      <c r="W1" s="54"/>
      <c r="X1" s="54"/>
      <c r="Y1" s="54"/>
      <c r="Z1" s="54"/>
    </row>
    <row r="2" spans="1:26">
      <c r="A2" s="57" t="s">
        <v>219</v>
      </c>
      <c r="B2" s="57" t="s">
        <v>118</v>
      </c>
      <c r="C2" s="57" t="s">
        <v>220</v>
      </c>
      <c r="D2" s="57" t="s">
        <v>221</v>
      </c>
      <c r="E2" s="58" t="s">
        <v>222</v>
      </c>
      <c r="F2" s="54"/>
      <c r="G2" s="54"/>
      <c r="H2" s="54"/>
      <c r="I2" s="54"/>
      <c r="J2" s="54"/>
      <c r="K2" s="54"/>
      <c r="L2" s="54"/>
      <c r="M2" s="54"/>
      <c r="N2" s="54"/>
      <c r="O2" s="54"/>
      <c r="P2" s="54"/>
      <c r="Q2" s="54"/>
      <c r="R2" s="54"/>
      <c r="S2" s="54"/>
      <c r="T2" s="54"/>
      <c r="U2" s="54"/>
      <c r="V2" s="54"/>
      <c r="W2" s="54"/>
      <c r="X2" s="54"/>
      <c r="Y2" s="54"/>
      <c r="Z2" s="54"/>
    </row>
    <row r="3" spans="1:26">
      <c r="A3" s="59" t="s">
        <v>223</v>
      </c>
      <c r="B3" s="59" t="s">
        <v>223</v>
      </c>
      <c r="C3" s="59" t="s">
        <v>223</v>
      </c>
      <c r="D3" s="59" t="s">
        <v>223</v>
      </c>
      <c r="E3" s="60" t="s">
        <v>224</v>
      </c>
      <c r="F3" s="54"/>
      <c r="G3" s="54"/>
      <c r="H3" s="54"/>
      <c r="I3" s="54"/>
      <c r="J3" s="54"/>
      <c r="K3" s="54"/>
      <c r="L3" s="54"/>
      <c r="M3" s="54"/>
      <c r="N3" s="54"/>
      <c r="O3" s="54"/>
      <c r="P3" s="54"/>
      <c r="Q3" s="54"/>
      <c r="R3" s="54"/>
      <c r="S3" s="54"/>
      <c r="T3" s="54"/>
      <c r="U3" s="54"/>
      <c r="V3" s="54"/>
      <c r="W3" s="54"/>
      <c r="X3" s="54"/>
      <c r="Y3" s="54"/>
      <c r="Z3" s="54"/>
    </row>
    <row r="4" spans="1:26">
      <c r="A4" s="54"/>
      <c r="B4" s="54"/>
      <c r="C4" s="54"/>
      <c r="D4" s="54"/>
      <c r="E4" s="54"/>
      <c r="F4" s="54"/>
      <c r="G4" s="54"/>
      <c r="H4" s="54"/>
      <c r="I4" s="54"/>
      <c r="J4" s="54"/>
      <c r="K4" s="54"/>
      <c r="L4" s="54"/>
      <c r="M4" s="54"/>
      <c r="N4" s="54"/>
      <c r="O4" s="54"/>
      <c r="P4" s="54"/>
      <c r="Q4" s="54"/>
      <c r="R4" s="54"/>
      <c r="S4" s="54"/>
      <c r="T4" s="54"/>
      <c r="U4" s="54"/>
      <c r="V4" s="54"/>
      <c r="W4" s="54"/>
      <c r="X4" s="54"/>
      <c r="Y4" s="54"/>
      <c r="Z4" s="54"/>
    </row>
    <row r="5" spans="1:26">
      <c r="A5" s="112" t="s">
        <v>225</v>
      </c>
      <c r="B5" s="113"/>
      <c r="C5" s="113"/>
      <c r="D5" s="113"/>
      <c r="E5" s="114"/>
      <c r="F5" s="10"/>
      <c r="G5" s="54"/>
      <c r="H5" s="54"/>
      <c r="I5" s="54"/>
      <c r="J5" s="54"/>
      <c r="K5" s="54"/>
      <c r="L5" s="54"/>
      <c r="M5" s="54"/>
      <c r="N5" s="54"/>
      <c r="O5" s="54"/>
      <c r="P5" s="54"/>
      <c r="Q5" s="54"/>
      <c r="R5" s="54"/>
      <c r="S5" s="54"/>
      <c r="T5" s="54"/>
      <c r="U5" s="54"/>
      <c r="V5" s="54"/>
      <c r="W5" s="54"/>
      <c r="X5" s="54"/>
      <c r="Y5" s="54"/>
      <c r="Z5" s="54"/>
    </row>
    <row r="6" spans="1:26">
      <c r="A6" s="57" t="s">
        <v>226</v>
      </c>
      <c r="B6" s="57" t="s">
        <v>227</v>
      </c>
      <c r="C6" s="57" t="s">
        <v>228</v>
      </c>
      <c r="D6" s="57" t="s">
        <v>229</v>
      </c>
      <c r="E6" s="61" t="s">
        <v>230</v>
      </c>
      <c r="F6" s="54"/>
      <c r="G6" s="54"/>
      <c r="H6" s="54"/>
      <c r="I6" s="54"/>
      <c r="J6" s="54"/>
      <c r="K6" s="54"/>
      <c r="L6" s="54"/>
      <c r="M6" s="54"/>
      <c r="N6" s="54"/>
      <c r="O6" s="54"/>
      <c r="P6" s="54"/>
      <c r="Q6" s="54"/>
      <c r="R6" s="54"/>
      <c r="S6" s="54"/>
      <c r="T6" s="54"/>
      <c r="U6" s="54"/>
      <c r="V6" s="54"/>
      <c r="W6" s="54"/>
      <c r="X6" s="54"/>
      <c r="Y6" s="54"/>
      <c r="Z6" s="54"/>
    </row>
    <row r="7" spans="1:26">
      <c r="A7" s="59" t="s">
        <v>231</v>
      </c>
      <c r="B7" s="59" t="s">
        <v>231</v>
      </c>
      <c r="C7" s="59" t="s">
        <v>231</v>
      </c>
      <c r="D7" s="59" t="s">
        <v>231</v>
      </c>
      <c r="E7" s="62" t="s">
        <v>231</v>
      </c>
      <c r="F7" s="54"/>
      <c r="G7" s="54"/>
      <c r="H7" s="54"/>
      <c r="I7" s="54"/>
      <c r="J7" s="54"/>
      <c r="K7" s="54"/>
      <c r="L7" s="54"/>
      <c r="M7" s="54"/>
      <c r="N7" s="54"/>
      <c r="O7" s="54"/>
      <c r="P7" s="54"/>
      <c r="Q7" s="54"/>
      <c r="R7" s="54"/>
      <c r="S7" s="54"/>
      <c r="T7" s="54"/>
      <c r="U7" s="54"/>
      <c r="V7" s="54"/>
      <c r="W7" s="54"/>
      <c r="X7" s="54"/>
      <c r="Y7" s="54"/>
      <c r="Z7" s="54"/>
    </row>
    <row r="8" spans="1:26">
      <c r="A8" s="54"/>
      <c r="B8" s="54"/>
      <c r="C8" s="54"/>
      <c r="D8" s="54"/>
      <c r="E8" s="54"/>
      <c r="F8" s="54"/>
      <c r="G8" s="54"/>
      <c r="H8" s="54"/>
      <c r="I8" s="54"/>
      <c r="J8" s="54"/>
      <c r="K8" s="54"/>
      <c r="L8" s="54"/>
      <c r="M8" s="54"/>
      <c r="N8" s="54"/>
      <c r="O8" s="54"/>
      <c r="P8" s="54"/>
      <c r="Q8" s="54"/>
      <c r="R8" s="54"/>
      <c r="S8" s="54"/>
      <c r="T8" s="54"/>
      <c r="U8" s="54"/>
      <c r="V8" s="54"/>
      <c r="W8" s="54"/>
      <c r="X8" s="54"/>
      <c r="Y8" s="54"/>
      <c r="Z8" s="54"/>
    </row>
    <row r="9" spans="1:26">
      <c r="A9" s="112" t="s">
        <v>232</v>
      </c>
      <c r="B9" s="113"/>
      <c r="C9" s="113"/>
      <c r="D9" s="114"/>
      <c r="E9" s="54"/>
      <c r="F9" s="54"/>
      <c r="G9" s="54"/>
      <c r="H9" s="54"/>
      <c r="I9" s="54"/>
      <c r="J9" s="54"/>
      <c r="K9" s="54"/>
      <c r="L9" s="54"/>
      <c r="M9" s="54"/>
      <c r="N9" s="54"/>
      <c r="O9" s="54"/>
      <c r="P9" s="54"/>
      <c r="Q9" s="54"/>
      <c r="R9" s="54"/>
      <c r="S9" s="54"/>
      <c r="T9" s="54"/>
      <c r="U9" s="54"/>
      <c r="V9" s="54"/>
      <c r="W9" s="54"/>
      <c r="X9" s="54"/>
      <c r="Y9" s="54"/>
      <c r="Z9" s="54"/>
    </row>
    <row r="10" spans="1:26">
      <c r="A10" s="61" t="s">
        <v>233</v>
      </c>
      <c r="B10" s="57" t="s">
        <v>234</v>
      </c>
      <c r="C10" s="57" t="s">
        <v>235</v>
      </c>
      <c r="D10" s="61" t="s">
        <v>236</v>
      </c>
      <c r="E10" s="54"/>
      <c r="F10" s="54"/>
      <c r="G10" s="54"/>
      <c r="H10" s="54"/>
      <c r="I10" s="54"/>
      <c r="J10" s="54"/>
      <c r="K10" s="54"/>
      <c r="L10" s="54"/>
      <c r="M10" s="54"/>
      <c r="N10" s="54"/>
      <c r="O10" s="54"/>
      <c r="P10" s="54"/>
      <c r="Q10" s="54"/>
      <c r="R10" s="54"/>
      <c r="S10" s="54"/>
      <c r="T10" s="54"/>
      <c r="U10" s="54"/>
      <c r="V10" s="54"/>
      <c r="W10" s="54"/>
      <c r="X10" s="54"/>
      <c r="Y10" s="54"/>
      <c r="Z10" s="54"/>
    </row>
    <row r="11" spans="1:26">
      <c r="A11" s="62" t="s">
        <v>237</v>
      </c>
      <c r="B11" s="59" t="s">
        <v>238</v>
      </c>
      <c r="C11" s="59" t="s">
        <v>239</v>
      </c>
      <c r="D11" s="62" t="s">
        <v>240</v>
      </c>
      <c r="E11" s="54"/>
      <c r="F11" s="54"/>
      <c r="G11" s="54"/>
      <c r="H11" s="54"/>
      <c r="I11" s="54"/>
      <c r="J11" s="54"/>
      <c r="K11" s="54"/>
      <c r="L11" s="54"/>
      <c r="M11" s="54"/>
      <c r="N11" s="54"/>
      <c r="O11" s="54"/>
      <c r="P11" s="54"/>
      <c r="Q11" s="54"/>
      <c r="R11" s="54"/>
      <c r="S11" s="54"/>
      <c r="T11" s="54"/>
      <c r="U11" s="54"/>
      <c r="V11" s="54"/>
      <c r="W11" s="54"/>
      <c r="X11" s="54"/>
      <c r="Y11" s="54"/>
      <c r="Z11" s="54"/>
    </row>
    <row r="12" spans="1:26">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c r="A13" s="63" t="s">
        <v>241</v>
      </c>
      <c r="B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c r="A14" s="64" t="s">
        <v>242</v>
      </c>
      <c r="B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3">
    <mergeCell ref="A1:E1"/>
    <mergeCell ref="A5:E5"/>
    <mergeCell ref="A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Nội dung trong tâm</vt:lpstr>
      <vt:lpstr>Danh sách lớp</vt:lpstr>
      <vt:lpstr>Nội dung trọng tâm Module 3</vt:lpstr>
      <vt:lpstr>Nội dung trọng tâm Module 2</vt:lpstr>
      <vt:lpstr>checklist</vt:lpstr>
      <vt:lpstr>JAVA core API</vt:lpstr>
      <vt:lpstr>Quy tắc lớp</vt:lpstr>
      <vt:lpstr>Chia sẻ tài liệu</vt:lpstr>
      <vt:lpstr>Các hoạt động học tập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チュン</cp:lastModifiedBy>
  <dcterms:modified xsi:type="dcterms:W3CDTF">2025-07-26T22:56:16Z</dcterms:modified>
</cp:coreProperties>
</file>